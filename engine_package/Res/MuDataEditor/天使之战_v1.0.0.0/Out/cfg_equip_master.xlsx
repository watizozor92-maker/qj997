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equip_master" sheetId="1" r:id="rId1"/>
    <sheet name="公式页" sheetId="2" r:id="rId2"/>
  </sheets>
  <externalReferences>
    <externalReference r:id="rId3"/>
  </externalReferences>
  <definedNames>
    <definedName name="难度2经验系数">[1]全局参数!$C$61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<sst xmlns="http://schemas.openxmlformats.org/spreadsheetml/2006/main" count="115" uniqueCount="79">
  <si>
    <r>
      <rPr>
        <sz val="11"/>
        <color theme="1"/>
        <rFont val="宋体"/>
        <charset val="134"/>
      </rPr>
      <t>序列</t>
    </r>
  </si>
  <si>
    <t>类型</t>
  </si>
  <si>
    <t>穿戴栏</t>
  </si>
  <si>
    <t>组</t>
  </si>
  <si>
    <r>
      <rPr>
        <sz val="11"/>
        <color theme="1"/>
        <rFont val="微软雅黑"/>
        <charset val="134"/>
      </rPr>
      <t>部位</t>
    </r>
    <r>
      <rPr>
        <sz val="11"/>
        <color theme="1"/>
        <rFont val="Calibri"/>
        <charset val="134"/>
      </rPr>
      <t>id</t>
    </r>
  </si>
  <si>
    <t>备注</t>
  </si>
  <si>
    <t>计算方式</t>
  </si>
  <si>
    <t>所需等级</t>
  </si>
  <si>
    <t>强化属性</t>
  </si>
  <si>
    <r>
      <rPr>
        <sz val="11"/>
        <color theme="1"/>
        <rFont val="宋体"/>
        <charset val="134"/>
      </rPr>
      <t>第一位：类型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第二三位：组</t>
    </r>
    <r>
      <rPr>
        <sz val="11"/>
        <color theme="1"/>
        <rFont val="Calibri"/>
        <charset val="134"/>
      </rPr>
      <t xml:space="preserve">id </t>
    </r>
    <r>
      <rPr>
        <sz val="11"/>
        <color theme="1"/>
        <rFont val="宋体"/>
        <charset val="134"/>
      </rPr>
      <t>后面为编号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</si>
  <si>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微软雅黑"/>
        <charset val="134"/>
      </rPr>
      <t>：强化大师</t>
    </r>
    <r>
      <rPr>
        <sz val="11"/>
        <color theme="1"/>
        <rFont val="Calibri"/>
        <charset val="134"/>
      </rPr>
      <t xml:space="preserve">
2</t>
    </r>
    <r>
      <rPr>
        <sz val="11"/>
        <color theme="1"/>
        <rFont val="微软雅黑"/>
        <charset val="134"/>
      </rPr>
      <t>：追加大师</t>
    </r>
  </si>
  <si>
    <r>
      <rPr>
        <sz val="11"/>
        <color theme="1"/>
        <rFont val="微软雅黑"/>
        <charset val="134"/>
      </rPr>
      <t>填写装备大师计算的穿戴栏，填</t>
    </r>
    <r>
      <rPr>
        <sz val="11"/>
        <color theme="1"/>
        <rFont val="Calibri"/>
        <charset val="134"/>
      </rPr>
      <t>-1</t>
    </r>
    <r>
      <rPr>
        <sz val="11"/>
        <color theme="1"/>
        <rFont val="微软雅黑"/>
        <charset val="134"/>
      </rPr>
      <t>代表遍历角色所有穿戴栏；调用</t>
    </r>
    <r>
      <rPr>
        <sz val="11"/>
        <color theme="1"/>
        <rFont val="Calibri"/>
        <charset val="134"/>
      </rPr>
      <t>cfg_career</t>
    </r>
    <r>
      <rPr>
        <sz val="11"/>
        <color theme="1"/>
        <rFont val="微软雅黑"/>
        <charset val="134"/>
      </rPr>
      <t>表，职业穿戴栏字段</t>
    </r>
  </si>
  <si>
    <r>
      <rPr>
        <sz val="11"/>
        <color theme="1"/>
        <rFont val="Calibri"/>
        <charset val="134"/>
      </rPr>
      <t>type</t>
    </r>
    <r>
      <rPr>
        <sz val="11"/>
        <color theme="1"/>
        <rFont val="微软雅黑"/>
        <charset val="134"/>
      </rPr>
      <t>和</t>
    </r>
    <r>
      <rPr>
        <sz val="11"/>
        <color theme="1"/>
        <rFont val="Calibri"/>
        <charset val="134"/>
      </rPr>
      <t>strpartid</t>
    </r>
    <r>
      <rPr>
        <sz val="11"/>
        <color theme="1"/>
        <rFont val="微软雅黑"/>
        <charset val="134"/>
      </rPr>
      <t>共同决定一个组</t>
    </r>
  </si>
  <si>
    <r>
      <rPr>
        <sz val="11"/>
        <color theme="1"/>
        <rFont val="微软雅黑"/>
        <charset val="134"/>
      </rPr>
      <t>填写装备大师计算的穿戴部位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微软雅黑"/>
        <charset val="134"/>
      </rPr>
      <t>穿戴栏部位读取</t>
    </r>
    <r>
      <rPr>
        <sz val="11"/>
        <color theme="1"/>
        <rFont val="Calibri"/>
        <charset val="134"/>
      </rPr>
      <t>item</t>
    </r>
    <r>
      <rPr>
        <sz val="11"/>
        <color theme="1"/>
        <rFont val="微软雅黑"/>
        <charset val="134"/>
      </rPr>
      <t>表</t>
    </r>
    <r>
      <rPr>
        <sz val="11"/>
        <color theme="1"/>
        <rFont val="Calibri"/>
        <charset val="134"/>
      </rPr>
      <t>strPart</t>
    </r>
    <r>
      <rPr>
        <sz val="11"/>
        <color theme="1"/>
        <rFont val="微软雅黑"/>
        <charset val="134"/>
      </rPr>
      <t>字段；格式：部位</t>
    </r>
    <r>
      <rPr>
        <sz val="11"/>
        <color theme="1"/>
        <rFont val="Calibri"/>
        <charset val="134"/>
      </rPr>
      <t>#</t>
    </r>
    <r>
      <rPr>
        <sz val="11"/>
        <color theme="1"/>
        <rFont val="微软雅黑"/>
        <charset val="134"/>
      </rPr>
      <t>部位</t>
    </r>
  </si>
  <si>
    <t>前端显示</t>
  </si>
  <si>
    <r>
      <rPr>
        <sz val="11"/>
        <color theme="1"/>
        <rFont val="Calibri"/>
        <charset val="134"/>
      </rPr>
      <t>0</t>
    </r>
    <r>
      <rPr>
        <sz val="11"/>
        <color theme="1"/>
        <rFont val="微软雅黑"/>
        <charset val="134"/>
      </rPr>
      <t>：计算部位总和等级</t>
    </r>
    <r>
      <rPr>
        <sz val="11"/>
        <color theme="1"/>
        <rFont val="Calibri"/>
        <charset val="134"/>
      </rPr>
      <t xml:space="preserve">
1</t>
    </r>
    <r>
      <rPr>
        <sz val="11"/>
        <color theme="1"/>
        <rFont val="微软雅黑"/>
        <charset val="134"/>
      </rPr>
      <t>：计算每个部位等级</t>
    </r>
  </si>
  <si>
    <t>前端显示等级</t>
  </si>
  <si>
    <r>
      <rPr>
        <sz val="11"/>
        <color theme="1"/>
        <rFont val="微软雅黑"/>
        <charset val="134"/>
      </rPr>
      <t>职业id#属性id#万分比</t>
    </r>
    <r>
      <rPr>
        <sz val="11"/>
        <color theme="1"/>
        <rFont val="Calibri"/>
        <charset val="134"/>
      </rPr>
      <t>|</t>
    </r>
    <r>
      <rPr>
        <sz val="11"/>
        <color theme="1"/>
        <rFont val="微软雅黑"/>
        <charset val="134"/>
      </rPr>
      <t xml:space="preserve">职业id#属性id#万分比
</t>
    </r>
  </si>
  <si>
    <t>int#c#s</t>
  </si>
  <si>
    <t>intList#c#s</t>
  </si>
  <si>
    <t>string#c#s</t>
  </si>
  <si>
    <t>intListList#c#s</t>
  </si>
  <si>
    <t>id</t>
  </si>
  <si>
    <t>type</t>
  </si>
  <si>
    <t>wearBarID</t>
  </si>
  <si>
    <t>group</t>
  </si>
  <si>
    <t>strPartId</t>
  </si>
  <si>
    <t>note</t>
  </si>
  <si>
    <t>count</t>
  </si>
  <si>
    <t>lv</t>
  </si>
  <si>
    <t>att</t>
  </si>
  <si>
    <t>1#2#4#5#6#7#8</t>
  </si>
  <si>
    <t>全身强化都达到</t>
  </si>
  <si>
    <t>1#201011#3|1#201021#3|1#206011#3|2#202011#3|2#202021#3|2#206011#3|3#201011#3|3#201021#3|3#206011#3</t>
  </si>
  <si>
    <t>1#201011#6|1#201021#6|1#206011#6|2#202011#6|2#202021#6|2#206011#6|3#201011#6|3#201021#6|3#206011#6</t>
  </si>
  <si>
    <t>1#201011#10|1#201021#10|1#206011#10|2#202011#10|2#202021#10|2#206011#10|3#201011#10|3#201021#10|3#206011#10</t>
  </si>
  <si>
    <t>1#201011#15|1#201021#15|1#206011#15|1#200042#250|1#600001#500|2#202011#15|2#202021#15|2#206011#15|2#200042#250|2#600001#500|3#201011#15|3#201021#15|3#206011#15|3#200042#250|3#600001#500</t>
  </si>
  <si>
    <t>1#201011#23|1#201021#23|1#206011#23|1#200042#500|1#600001#1000|2#202011#23|2#202021#23|2#206011#23|2#200042#500|2#600001#1000|3#201011#23|3#201021#23|3#206011#23|3#200042#500|3#600001#1000</t>
  </si>
  <si>
    <t>1#201011#34|1#201021#34|1#206011#34|1#200042#1000|1#600001#1800|2#202011#34|2#202021#34|2#206011#34|2#200042#1000|2#600001#1800|3#201011#34|3#201021#34|3#206011#34|3#200042#1000|3#600001#1800</t>
  </si>
  <si>
    <t>1#201011#49|1#201021#49|1#206011#49|1#200042#1500|1#600001#2800|2#202011#49|2#202021#49|2#206011#49|2#200042#1500|2#600001#2800|3#201011#49|3#201021#49|3#206011#49|3#200042#1500|3#600001#2800</t>
  </si>
  <si>
    <t>1#201011#70|1#201021#70|1#206011#70|1#200042#2000|1#600001#4000|2#202011#70|2#202021#70|2#206011#70|2#200042#2000|2#600001#4000|3#201011#70|3#201021#70|3#206011#70|3#200042#2000|3#600001#4000</t>
  </si>
  <si>
    <t>1#201011#100|1#201021#100|1#206011#100|1#200042#2500|1#600001#5500|2#202011#100|2#202021#100|2#206011#100|2#200042#2500|2#600001#5500|3#201011#100|3#201021#100|3#206011#100|3#200042#2500|3#600001#5500</t>
  </si>
  <si>
    <t>201011</t>
  </si>
  <si>
    <t>最大攻击力</t>
  </si>
  <si>
    <t>最小攻击力</t>
  </si>
  <si>
    <t>最大魔法攻击力</t>
  </si>
  <si>
    <t>202021</t>
  </si>
  <si>
    <t>最小魔法攻击力</t>
  </si>
  <si>
    <t>防御力</t>
  </si>
  <si>
    <t>攻击力加成</t>
  </si>
  <si>
    <t>206032</t>
  </si>
  <si>
    <t>防御力加成</t>
  </si>
  <si>
    <t>1#201011#3|1#201021#3|1#206011#3</t>
  </si>
  <si>
    <t>2#202011#3|2#202021#3|2#206011#3</t>
  </si>
  <si>
    <t>3#201011#3|3#201021#3|3#206011#3</t>
  </si>
  <si>
    <t>1#201011#6|1#201021#6|1#206011#6</t>
  </si>
  <si>
    <t>2#202011#6|2#202021#6|2#206011#6</t>
  </si>
  <si>
    <t>3#201011#6|3#201021#6|3#206011#6</t>
  </si>
  <si>
    <t>1#201011#10|1#201021#10|1#206011#10</t>
  </si>
  <si>
    <t>2#202011#10|2#202021#10|2#206011#10</t>
  </si>
  <si>
    <t>3#201011#10|3#201021#10|3#206011#10</t>
  </si>
  <si>
    <t>1#201011#15|1#201021#15|1#206011#15|1#200042#250|1#206032#500</t>
  </si>
  <si>
    <t>2#202011#15|2#202021#15|2#206011#15|2#200042#250|2#206032#500</t>
  </si>
  <si>
    <t>3#201011#15|3#201021#15|3#206011#15|3#200042#250|3#206032#500</t>
  </si>
  <si>
    <t>1#201011#23|1#201021#23|1#206011#23|1#200042#500|1#206032#1000</t>
  </si>
  <si>
    <t>2#202011#23|2#202021#23|2#206011#23|2#200042#500|2#206032#1000</t>
  </si>
  <si>
    <t>3#201011#23|3#201021#23|3#206011#23|3#200042#500|3#206032#1000</t>
  </si>
  <si>
    <t>1#201011#34|1#201021#34|1#206011#34|1#200042#1000|1#206032#1800</t>
  </si>
  <si>
    <t>2#202011#34|2#202021#34|2#206011#34|2#200042#1000|2#206032#1800</t>
  </si>
  <si>
    <t>3#201011#34|3#201021#34|3#206011#34|3#200042#1000|3#206032#1800</t>
  </si>
  <si>
    <t>1#201011#49|1#201021#49|1#206011#49|1#200042#1500|1#206032#2800</t>
  </si>
  <si>
    <t>2#202011#49|2#202021#49|2#206011#49|2#200042#1500|2#206032#2800</t>
  </si>
  <si>
    <t>3#201011#49|3#201021#49|3#206011#49|3#200042#1500|3#206032#2800</t>
  </si>
  <si>
    <t>1#201011#70|1#201021#70|1#206011#70|1#200042#2000|1#206032#4000</t>
  </si>
  <si>
    <t>2#202011#70|2#202021#70|2#206011#70|2#200042#2000|2#206032#4000</t>
  </si>
  <si>
    <t>3#201011#70|3#201021#70|3#206011#70|3#200042#2000|3#206032#4000</t>
  </si>
  <si>
    <t>1#201011#100|1#201021#100|1#206011#100|1#200042#2500|1#206032#5500</t>
  </si>
  <si>
    <t>2#202011#100|2#202021#100|2#206011#100|2#200042#2500|2#206032#5500</t>
  </si>
  <si>
    <t>3#201011#100|3#201021#100|3#206011#100|3#200042#2500|3#206032#5500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</si>
</sst>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left"/>
    </xf>
    <xf numFmtId="9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left"/>
    </xf>
    <xf numFmtId="0" fontId="4" fillId="3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0" fontId="2" fillId="4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5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0.100\&#25968;&#20540;&#30456;&#20851;\2.5D&#22855;&#36857;-&#21387;&#32553;&#22320;&#22270;-V3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思考"/>
      <sheetName val="全局参数"/>
      <sheetName val="公式说明"/>
      <sheetName val="基础设定"/>
      <sheetName val="属性点平衡"/>
      <sheetName val="属性点平衡2.0"/>
      <sheetName val="闪避修正"/>
      <sheetName val="大小号PK体验"/>
      <sheetName val="属性总览"/>
      <sheetName val="卓越属性汇总"/>
      <sheetName val="药品"/>
      <sheetName val="技能参考"/>
      <sheetName val="技能参数"/>
      <sheetName val="战斗循环"/>
      <sheetName val="SD"/>
      <sheetName val="连击技"/>
      <sheetName val="SD 连击成长"/>
      <sheetName val="大师版本PVE循环"/>
      <sheetName val="大师版本PVP循环"/>
      <sheetName val="大师成长"/>
      <sheetName val="大师通用天赋"/>
      <sheetName val="大师天赋配置"/>
      <sheetName val="曲线设计"/>
      <sheetName val="曲线设计新"/>
      <sheetName val="新手期设计"/>
      <sheetName val="新手期任务"/>
      <sheetName val="新手期任务2.0"/>
      <sheetName val="新手期任务3.0"/>
      <sheetName val="新手期任务4.0"/>
      <sheetName val="新手期任务5.0"/>
      <sheetName val="周期设计"/>
      <sheetName val="地图设计"/>
      <sheetName val="地图设计2.0"/>
      <sheetName val="玩法节奏"/>
      <sheetName val="等级周期"/>
      <sheetName val="等级属性"/>
      <sheetName val="装备周期"/>
      <sheetName val="装备修正辅助"/>
      <sheetName val="装备属性"/>
      <sheetName val="装备叠加"/>
      <sheetName val="装备属性配置"/>
      <sheetName val="装备属性配置2.0"/>
      <sheetName val="卓越设计"/>
      <sheetName val="卓越设计2.0"/>
      <sheetName val="卓越词条规则"/>
      <sheetName val="红装"/>
      <sheetName val="红装2.0"/>
      <sheetName val="红装3.0"/>
      <sheetName val="首饰2.0"/>
      <sheetName val="首饰3.0"/>
      <sheetName val="套装强化-F"/>
      <sheetName val="转生&amp;转职"/>
      <sheetName val="会员-F"/>
      <sheetName val="转生首饰"/>
      <sheetName val="转生首饰强化"/>
      <sheetName val="本服卡利玛"/>
      <sheetName val="大天使首饰"/>
      <sheetName val="试炼之地"/>
      <sheetName val="试炼之地2.0"/>
      <sheetName val="卡伦特废墟"/>
      <sheetName val="再生宝石"/>
      <sheetName val="宝石进化"/>
      <sheetName val="圣魂"/>
      <sheetName val="圣魂属性"/>
      <sheetName val="圣物1"/>
      <sheetName val="圣物2"/>
      <sheetName val="6转符文系统"/>
      <sheetName val="7转新系统预设"/>
      <sheetName val="8转新系统预设"/>
      <sheetName val="词条规划"/>
      <sheetName val="部件升级"/>
      <sheetName val="时间视角下铸魂"/>
      <sheetName val="9转新系统预设"/>
      <sheetName val="10转新系统预设"/>
      <sheetName val="跨服新地图产出"/>
      <sheetName val="怪点设计"/>
      <sheetName val="勇士任务&amp;悬赏"/>
      <sheetName val="活动产出"/>
      <sheetName val="掉落组说明"/>
      <sheetName val="黄金宝箱"/>
      <sheetName val="怪物掉落"/>
      <sheetName val="怪物属性设计"/>
      <sheetName val="远古boss"/>
      <sheetName val="怪物属性汇总"/>
      <sheetName val="血色城堡"/>
      <sheetName val="恶魔广场"/>
      <sheetName val="系统辅助列"/>
      <sheetName val="玩家系统成长预期"/>
      <sheetName val="回合数预期"/>
      <sheetName val="玩家卓越幸运双倍成长预期"/>
      <sheetName val="玩家抵抗卓越一击成长预期"/>
      <sheetName val="玩家伤害加成成长预期"/>
      <sheetName val="玩家攻击加成成长预期"/>
      <sheetName val="玩家防御加成成长预期"/>
      <sheetName val="玩家攻速加成成长预期"/>
      <sheetName val="玩家减伤加成成长预期"/>
      <sheetName val="玩家抵抗减伤加成成长预期"/>
      <sheetName val="玩家反射比例成长预期"/>
      <sheetName val="玩家抵抗反射比例成长预期"/>
      <sheetName val="玩家生命加成成长预期"/>
      <sheetName val="玩家闪避率加成成长预期"/>
      <sheetName val="玩家攻击率加成成长预期"/>
      <sheetName val="玩家攻击成长预期"/>
      <sheetName val="玩家生命成长预期"/>
      <sheetName val="玩家防御成长预期"/>
      <sheetName val="玩家无视防御率成长预期"/>
      <sheetName val="商城"/>
      <sheetName val="道具相关"/>
      <sheetName val="属性成长设计"/>
      <sheetName val="资源产耗分配"/>
      <sheetName val="PK节奏"/>
      <sheetName val="函数测试"/>
      <sheetName val="Sheet5"/>
      <sheetName val="装备追加-F"/>
      <sheetName val="装备强化-F"/>
      <sheetName val="果实-F"/>
      <sheetName val="军团徽章-F"/>
      <sheetName val="翅膀-F"/>
      <sheetName val="翅膀强化-F"/>
      <sheetName val="荧光宝石-F"/>
      <sheetName val="守护-F"/>
      <sheetName val="耳环-F"/>
      <sheetName val="戒指-F"/>
      <sheetName val="项链-F"/>
      <sheetName val="守护-培养F"/>
      <sheetName val="圣印-F"/>
      <sheetName val="战旗-F"/>
      <sheetName val="号角-F"/>
      <sheetName val="系数感受(阶段)-F"/>
      <sheetName val="掉落感受(天)-F"/>
      <sheetName val="道具投放汇总-F"/>
      <sheetName val="投放掉落分类-F"/>
      <sheetName val="等级分段成长预期"/>
      <sheetName val="加班人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topLeftCell="C1" workbookViewId="0">
      <pane ySplit="4" topLeftCell="A5" activePane="bottomLeft" state="frozen"/>
      <selection/>
      <selection pane="bottomLeft" activeCell="I18" sqref="I18"/>
    </sheetView>
  </sheetViews>
  <sheetFormatPr defaultColWidth="9" defaultRowHeight="13.5"/>
  <cols>
    <col min="1" max="1" width="7.06666666666667" style="12" customWidth="1"/>
    <col min="2" max="2" width="12.875" style="12" customWidth="1"/>
    <col min="3" max="4" width="14.5" style="12" customWidth="1"/>
    <col min="5" max="5" width="42.175" style="12" customWidth="1"/>
    <col min="6" max="7" width="30.875" style="12" customWidth="1"/>
    <col min="8" max="8" width="12.75" style="12" customWidth="1"/>
    <col min="9" max="9" width="59.5" style="12" customWidth="1"/>
    <col min="10" max="16384" width="9" style="12"/>
  </cols>
  <sheetData>
    <row r="1" s="12" customFormat="1" ht="16.5" spans="1:1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3"/>
      <c r="K1" s="13"/>
    </row>
    <row r="2" s="12" customFormat="1" ht="105" customHeight="1" spans="1:11">
      <c r="A2" s="13" t="s">
        <v>9</v>
      </c>
      <c r="B2" s="15" t="s">
        <v>10</v>
      </c>
      <c r="C2" s="14" t="s">
        <v>11</v>
      </c>
      <c r="D2" s="15" t="s">
        <v>12</v>
      </c>
      <c r="E2" s="14" t="s">
        <v>13</v>
      </c>
      <c r="F2" s="14" t="s">
        <v>14</v>
      </c>
      <c r="G2" s="15" t="s">
        <v>15</v>
      </c>
      <c r="H2" s="14" t="s">
        <v>16</v>
      </c>
      <c r="I2" s="14" t="s">
        <v>17</v>
      </c>
      <c r="J2" s="13"/>
      <c r="K2" s="13"/>
    </row>
    <row r="3" s="12" customFormat="1" ht="15" spans="1:11">
      <c r="A3" s="13" t="s">
        <v>18</v>
      </c>
      <c r="B3" s="15" t="s">
        <v>18</v>
      </c>
      <c r="C3" s="15" t="s">
        <v>18</v>
      </c>
      <c r="D3" s="15" t="s">
        <v>18</v>
      </c>
      <c r="E3" s="15" t="s">
        <v>19</v>
      </c>
      <c r="F3" s="15" t="s">
        <v>20</v>
      </c>
      <c r="G3" s="15" t="s">
        <v>18</v>
      </c>
      <c r="H3" s="15" t="s">
        <v>18</v>
      </c>
      <c r="I3" s="15" t="s">
        <v>21</v>
      </c>
      <c r="J3" s="13"/>
      <c r="K3" s="13"/>
    </row>
    <row r="4" s="12" customFormat="1" ht="15" spans="1:11">
      <c r="A4" s="13" t="s">
        <v>22</v>
      </c>
      <c r="B4" s="15" t="s">
        <v>23</v>
      </c>
      <c r="C4" s="15" t="s">
        <v>24</v>
      </c>
      <c r="D4" s="15" t="s">
        <v>25</v>
      </c>
      <c r="E4" s="15" t="s">
        <v>26</v>
      </c>
      <c r="F4" s="15" t="s">
        <v>27</v>
      </c>
      <c r="G4" s="15" t="s">
        <v>28</v>
      </c>
      <c r="H4" s="15" t="s">
        <v>29</v>
      </c>
      <c r="I4" s="15" t="s">
        <v>30</v>
      </c>
      <c r="J4" s="13"/>
      <c r="K4" s="13"/>
    </row>
    <row r="5" s="12" customFormat="1" ht="15" customHeight="1" spans="1:11">
      <c r="A5" s="16">
        <v>10001</v>
      </c>
      <c r="B5" s="13">
        <v>1</v>
      </c>
      <c r="C5" s="13">
        <v>-1</v>
      </c>
      <c r="D5" s="13">
        <v>1</v>
      </c>
      <c r="E5" s="13" t="s">
        <v>31</v>
      </c>
      <c r="F5" s="17" t="s">
        <v>32</v>
      </c>
      <c r="G5" s="13">
        <v>1</v>
      </c>
      <c r="H5" s="13">
        <v>7</v>
      </c>
      <c r="I5" s="12" t="s">
        <v>33</v>
      </c>
      <c r="J5" s="13"/>
      <c r="K5" s="13"/>
    </row>
    <row r="6" s="12" customFormat="1" ht="15" customHeight="1" spans="1:11">
      <c r="A6" s="16">
        <v>10002</v>
      </c>
      <c r="B6" s="13">
        <v>1</v>
      </c>
      <c r="C6" s="13">
        <v>-1</v>
      </c>
      <c r="D6" s="13">
        <v>1</v>
      </c>
      <c r="E6" s="13" t="s">
        <v>31</v>
      </c>
      <c r="F6" s="17" t="s">
        <v>32</v>
      </c>
      <c r="G6" s="13">
        <v>1</v>
      </c>
      <c r="H6" s="13">
        <v>8</v>
      </c>
      <c r="I6" s="12" t="s">
        <v>34</v>
      </c>
      <c r="J6" s="13"/>
      <c r="K6" s="13"/>
    </row>
    <row r="7" s="12" customFormat="1" ht="15" customHeight="1" spans="1:11">
      <c r="A7" s="16">
        <v>10003</v>
      </c>
      <c r="B7" s="13">
        <v>1</v>
      </c>
      <c r="C7" s="13">
        <v>-1</v>
      </c>
      <c r="D7" s="13">
        <v>1</v>
      </c>
      <c r="E7" s="13" t="s">
        <v>31</v>
      </c>
      <c r="F7" s="17" t="s">
        <v>32</v>
      </c>
      <c r="G7" s="13">
        <v>1</v>
      </c>
      <c r="H7" s="13">
        <v>9</v>
      </c>
      <c r="I7" s="12" t="s">
        <v>35</v>
      </c>
      <c r="J7" s="13"/>
      <c r="K7" s="13"/>
    </row>
    <row r="8" s="12" customFormat="1" ht="15" customHeight="1" spans="1:11">
      <c r="A8" s="16">
        <v>10004</v>
      </c>
      <c r="B8" s="13">
        <v>1</v>
      </c>
      <c r="C8" s="13">
        <v>-1</v>
      </c>
      <c r="D8" s="13">
        <v>1</v>
      </c>
      <c r="E8" s="13" t="s">
        <v>31</v>
      </c>
      <c r="F8" s="17" t="s">
        <v>32</v>
      </c>
      <c r="G8" s="13">
        <v>1</v>
      </c>
      <c r="H8" s="13">
        <v>10</v>
      </c>
      <c r="I8" s="12" t="s">
        <v>36</v>
      </c>
      <c r="J8" s="13"/>
      <c r="K8" s="13"/>
    </row>
    <row r="9" s="12" customFormat="1" ht="15" customHeight="1" spans="1:11">
      <c r="A9" s="16">
        <v>10005</v>
      </c>
      <c r="B9" s="13">
        <v>1</v>
      </c>
      <c r="C9" s="13">
        <v>-1</v>
      </c>
      <c r="D9" s="13">
        <v>1</v>
      </c>
      <c r="E9" s="13" t="s">
        <v>31</v>
      </c>
      <c r="F9" s="17" t="s">
        <v>32</v>
      </c>
      <c r="G9" s="13">
        <v>1</v>
      </c>
      <c r="H9" s="13">
        <v>11</v>
      </c>
      <c r="I9" s="12" t="s">
        <v>37</v>
      </c>
      <c r="J9" s="13"/>
      <c r="K9" s="13"/>
    </row>
    <row r="10" s="12" customFormat="1" ht="15" customHeight="1" spans="1:11">
      <c r="A10" s="16">
        <v>10006</v>
      </c>
      <c r="B10" s="13">
        <v>1</v>
      </c>
      <c r="C10" s="13">
        <v>-1</v>
      </c>
      <c r="D10" s="13">
        <v>1</v>
      </c>
      <c r="E10" s="13" t="s">
        <v>31</v>
      </c>
      <c r="F10" s="17" t="s">
        <v>32</v>
      </c>
      <c r="G10" s="13">
        <v>1</v>
      </c>
      <c r="H10" s="13">
        <v>12</v>
      </c>
      <c r="I10" s="12" t="s">
        <v>38</v>
      </c>
      <c r="J10" s="13"/>
      <c r="K10" s="13"/>
    </row>
    <row r="11" s="12" customFormat="1" ht="15" customHeight="1" spans="1:11">
      <c r="A11" s="16">
        <v>10007</v>
      </c>
      <c r="B11" s="13">
        <v>1</v>
      </c>
      <c r="C11" s="13">
        <v>-1</v>
      </c>
      <c r="D11" s="13">
        <v>1</v>
      </c>
      <c r="E11" s="13" t="s">
        <v>31</v>
      </c>
      <c r="F11" s="17" t="s">
        <v>32</v>
      </c>
      <c r="G11" s="13">
        <v>1</v>
      </c>
      <c r="H11" s="13">
        <v>13</v>
      </c>
      <c r="I11" s="12" t="s">
        <v>39</v>
      </c>
      <c r="J11" s="13"/>
      <c r="K11" s="13"/>
    </row>
    <row r="12" s="12" customFormat="1" ht="15" customHeight="1" spans="1:11">
      <c r="A12" s="16">
        <v>10008</v>
      </c>
      <c r="B12" s="13">
        <v>1</v>
      </c>
      <c r="C12" s="13">
        <v>-1</v>
      </c>
      <c r="D12" s="13">
        <v>1</v>
      </c>
      <c r="E12" s="13" t="s">
        <v>31</v>
      </c>
      <c r="F12" s="17" t="s">
        <v>32</v>
      </c>
      <c r="G12" s="13">
        <v>1</v>
      </c>
      <c r="H12" s="13">
        <v>14</v>
      </c>
      <c r="I12" s="12" t="s">
        <v>40</v>
      </c>
      <c r="J12" s="13"/>
      <c r="K12" s="13"/>
    </row>
    <row r="13" s="12" customFormat="1" ht="15" customHeight="1" spans="1:11">
      <c r="A13" s="16">
        <v>10009</v>
      </c>
      <c r="B13" s="13">
        <v>1</v>
      </c>
      <c r="C13" s="13">
        <v>-1</v>
      </c>
      <c r="D13" s="13">
        <v>1</v>
      </c>
      <c r="E13" s="13" t="s">
        <v>31</v>
      </c>
      <c r="F13" s="17" t="s">
        <v>32</v>
      </c>
      <c r="G13" s="13">
        <v>1</v>
      </c>
      <c r="H13" s="13">
        <v>15</v>
      </c>
      <c r="I13" s="12" t="s">
        <v>41</v>
      </c>
      <c r="J13" s="13"/>
      <c r="K13" s="1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AD51"/>
  <sheetViews>
    <sheetView workbookViewId="0">
      <selection activeCell="M13" sqref="M13"/>
    </sheetView>
  </sheetViews>
  <sheetFormatPr defaultColWidth="9" defaultRowHeight="13.5"/>
  <sheetData>
    <row r="7" ht="16.5" spans="3:30">
      <c r="C7" s="1"/>
      <c r="D7" s="2"/>
      <c r="E7" s="3" t="s">
        <v>42</v>
      </c>
      <c r="F7" s="3" t="s">
        <v>43</v>
      </c>
      <c r="G7" s="2"/>
      <c r="H7" s="2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6.5" spans="3:30">
      <c r="C8" s="1"/>
      <c r="D8" s="4"/>
      <c r="E8" s="3">
        <v>201021</v>
      </c>
      <c r="F8" s="3" t="s">
        <v>44</v>
      </c>
      <c r="G8" s="2"/>
      <c r="H8" s="2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6.5" spans="3:30">
      <c r="C9" s="1"/>
      <c r="D9" s="4"/>
      <c r="E9" s="5"/>
      <c r="F9" s="2"/>
      <c r="G9" s="2"/>
      <c r="H9" s="2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6.5" spans="3:30">
      <c r="C10" s="1"/>
      <c r="D10" s="4"/>
      <c r="E10" s="3">
        <v>202011</v>
      </c>
      <c r="F10" s="3" t="s">
        <v>45</v>
      </c>
      <c r="G10" s="2"/>
      <c r="H10" s="2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6.5" spans="3:30">
      <c r="C11" s="1"/>
      <c r="D11" s="4"/>
      <c r="E11" s="3" t="s">
        <v>46</v>
      </c>
      <c r="F11" s="3" t="s">
        <v>47</v>
      </c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6.5" spans="3:30">
      <c r="C12" s="1"/>
      <c r="D12" s="4"/>
      <c r="E12" s="5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6.5" spans="3:30">
      <c r="C13" s="1"/>
      <c r="D13" s="4"/>
      <c r="E13" s="6">
        <v>206011</v>
      </c>
      <c r="F13" s="7" t="s">
        <v>48</v>
      </c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6.5" spans="3:30">
      <c r="C14" s="1"/>
      <c r="D14" s="4"/>
      <c r="E14" s="5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6.5" spans="3:30">
      <c r="C15" s="1"/>
      <c r="D15" s="4"/>
      <c r="E15" s="3">
        <v>200042</v>
      </c>
      <c r="F15" s="3" t="s">
        <v>49</v>
      </c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6.5" spans="3:30">
      <c r="C16" s="1"/>
      <c r="D16" s="4"/>
      <c r="E16" s="5"/>
      <c r="F16" s="2"/>
      <c r="G16" s="2"/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6.5" spans="3:30">
      <c r="C17" s="1"/>
      <c r="D17" s="1"/>
      <c r="E17" s="8" t="s">
        <v>50</v>
      </c>
      <c r="F17" s="8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6.5" spans="3:30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6.5" spans="3:30">
      <c r="C19" s="2">
        <v>7</v>
      </c>
      <c r="D19" s="1">
        <v>3</v>
      </c>
      <c r="E19" s="3" t="s">
        <v>42</v>
      </c>
      <c r="F19" s="9">
        <v>3</v>
      </c>
      <c r="G19" s="1">
        <v>3</v>
      </c>
      <c r="H19" s="3">
        <v>201021</v>
      </c>
      <c r="I19" s="9">
        <v>3</v>
      </c>
      <c r="J19" s="1">
        <v>3</v>
      </c>
      <c r="K19" s="6">
        <v>206011</v>
      </c>
      <c r="L19" s="9">
        <v>3</v>
      </c>
      <c r="M19" s="1"/>
      <c r="N19" s="1"/>
      <c r="O19" s="10"/>
      <c r="P19" s="1"/>
      <c r="Q19" s="10"/>
      <c r="R19" s="10"/>
      <c r="S19" s="1" t="str">
        <f t="shared" ref="S19:S21" si="0">_xlfn.CONCAT(D19,"#",E19,"#",F19,"|",G19,"#",H19,"#",I19,"|",J19,"#",K19,"#",L19)</f>
        <v>3#201011#3|3#201021#3|3#206011#3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6.5" spans="3:30">
      <c r="C20" s="2">
        <v>8</v>
      </c>
      <c r="D20" s="1">
        <v>3</v>
      </c>
      <c r="E20" s="3" t="s">
        <v>42</v>
      </c>
      <c r="F20" s="9">
        <v>6</v>
      </c>
      <c r="G20" s="1">
        <v>3</v>
      </c>
      <c r="H20" s="3">
        <v>201021</v>
      </c>
      <c r="I20" s="9">
        <v>6</v>
      </c>
      <c r="J20" s="1">
        <v>3</v>
      </c>
      <c r="K20" s="6">
        <v>206011</v>
      </c>
      <c r="L20" s="9">
        <v>6</v>
      </c>
      <c r="M20" s="1"/>
      <c r="N20" s="1"/>
      <c r="O20" s="10"/>
      <c r="P20" s="1"/>
      <c r="Q20" s="10"/>
      <c r="R20" s="10"/>
      <c r="S20" s="1" t="str">
        <f t="shared" si="0"/>
        <v>3#201011#6|3#201021#6|3#206011#6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6.5" spans="3:30">
      <c r="C21" s="2">
        <v>9</v>
      </c>
      <c r="D21" s="1">
        <v>3</v>
      </c>
      <c r="E21" s="3" t="s">
        <v>42</v>
      </c>
      <c r="F21" s="9">
        <v>10</v>
      </c>
      <c r="G21" s="1">
        <v>3</v>
      </c>
      <c r="H21" s="3">
        <v>201021</v>
      </c>
      <c r="I21" s="9">
        <v>10</v>
      </c>
      <c r="J21" s="1">
        <v>3</v>
      </c>
      <c r="K21" s="6">
        <v>206011</v>
      </c>
      <c r="L21" s="9">
        <v>10</v>
      </c>
      <c r="M21" s="1"/>
      <c r="N21" s="1"/>
      <c r="O21" s="10"/>
      <c r="P21" s="1"/>
      <c r="Q21" s="10"/>
      <c r="R21" s="10"/>
      <c r="S21" s="1" t="str">
        <f t="shared" si="0"/>
        <v>3#201011#10|3#201021#10|3#206011#10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6.5" spans="3:30">
      <c r="C22" s="2">
        <v>10</v>
      </c>
      <c r="D22" s="1">
        <v>3</v>
      </c>
      <c r="E22" s="3" t="s">
        <v>42</v>
      </c>
      <c r="F22" s="9">
        <v>15</v>
      </c>
      <c r="G22" s="1">
        <v>3</v>
      </c>
      <c r="H22" s="3">
        <v>201021</v>
      </c>
      <c r="I22" s="9">
        <v>15</v>
      </c>
      <c r="J22" s="1">
        <v>3</v>
      </c>
      <c r="K22" s="6">
        <v>206011</v>
      </c>
      <c r="L22" s="9">
        <v>15</v>
      </c>
      <c r="M22" s="1">
        <v>3</v>
      </c>
      <c r="N22" s="3">
        <v>200042</v>
      </c>
      <c r="O22" s="11">
        <v>250</v>
      </c>
      <c r="P22" s="1">
        <v>3</v>
      </c>
      <c r="Q22" s="8" t="s">
        <v>50</v>
      </c>
      <c r="R22" s="11">
        <v>500</v>
      </c>
      <c r="S22" s="1" t="str">
        <f t="shared" ref="S22:S27" si="1">_xlfn.CONCAT(D22,"#",E22,"#",F22,"|",G22,"#",H22,"#",I22,"|",J22,"#",K22,"#",L22,"|",M22,"#",N22,"#",O22,"|",P22,"#",Q22,"#",R22)</f>
        <v>3#201011#15|3#201021#15|3#206011#15|3#200042#250|3#206032#500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6.5" spans="3:30">
      <c r="C23" s="2">
        <v>11</v>
      </c>
      <c r="D23" s="1">
        <v>3</v>
      </c>
      <c r="E23" s="3" t="s">
        <v>42</v>
      </c>
      <c r="F23" s="9">
        <v>23</v>
      </c>
      <c r="G23" s="1">
        <v>3</v>
      </c>
      <c r="H23" s="3">
        <v>201021</v>
      </c>
      <c r="I23" s="9">
        <v>23</v>
      </c>
      <c r="J23" s="1">
        <v>3</v>
      </c>
      <c r="K23" s="6">
        <v>206011</v>
      </c>
      <c r="L23" s="9">
        <v>23</v>
      </c>
      <c r="M23" s="1">
        <v>3</v>
      </c>
      <c r="N23" s="3">
        <v>200042</v>
      </c>
      <c r="O23" s="11">
        <v>500</v>
      </c>
      <c r="P23" s="1">
        <v>3</v>
      </c>
      <c r="Q23" s="8" t="s">
        <v>50</v>
      </c>
      <c r="R23" s="11">
        <v>1000</v>
      </c>
      <c r="S23" s="1" t="str">
        <f t="shared" si="1"/>
        <v>3#201011#23|3#201021#23|3#206011#23|3#200042#500|3#206032#1000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6.5" spans="3:30">
      <c r="C24" s="2">
        <v>12</v>
      </c>
      <c r="D24" s="1">
        <v>3</v>
      </c>
      <c r="E24" s="3" t="s">
        <v>42</v>
      </c>
      <c r="F24" s="9">
        <v>34</v>
      </c>
      <c r="G24" s="1">
        <v>3</v>
      </c>
      <c r="H24" s="3">
        <v>201021</v>
      </c>
      <c r="I24" s="9">
        <v>34</v>
      </c>
      <c r="J24" s="1">
        <v>3</v>
      </c>
      <c r="K24" s="6">
        <v>206011</v>
      </c>
      <c r="L24" s="9">
        <v>34</v>
      </c>
      <c r="M24" s="1">
        <v>3</v>
      </c>
      <c r="N24" s="3">
        <v>200042</v>
      </c>
      <c r="O24" s="11">
        <v>1000</v>
      </c>
      <c r="P24" s="1">
        <v>3</v>
      </c>
      <c r="Q24" s="8" t="s">
        <v>50</v>
      </c>
      <c r="R24" s="11">
        <v>1800</v>
      </c>
      <c r="S24" s="1" t="str">
        <f t="shared" si="1"/>
        <v>3#201011#34|3#201021#34|3#206011#34|3#200042#1000|3#206032#1800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6.5" spans="3:30">
      <c r="C25" s="2">
        <v>13</v>
      </c>
      <c r="D25" s="1">
        <v>3</v>
      </c>
      <c r="E25" s="3" t="s">
        <v>42</v>
      </c>
      <c r="F25" s="9">
        <v>49</v>
      </c>
      <c r="G25" s="1">
        <v>3</v>
      </c>
      <c r="H25" s="3">
        <v>201021</v>
      </c>
      <c r="I25" s="9">
        <v>49</v>
      </c>
      <c r="J25" s="1">
        <v>3</v>
      </c>
      <c r="K25" s="6">
        <v>206011</v>
      </c>
      <c r="L25" s="9">
        <v>49</v>
      </c>
      <c r="M25" s="1">
        <v>3</v>
      </c>
      <c r="N25" s="3">
        <v>200042</v>
      </c>
      <c r="O25" s="11">
        <v>1500</v>
      </c>
      <c r="P25" s="1">
        <v>3</v>
      </c>
      <c r="Q25" s="8" t="s">
        <v>50</v>
      </c>
      <c r="R25" s="11">
        <v>2800</v>
      </c>
      <c r="S25" s="1" t="str">
        <f t="shared" si="1"/>
        <v>3#201011#49|3#201021#49|3#206011#49|3#200042#1500|3#206032#2800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6.5" spans="3:30">
      <c r="C26" s="2">
        <v>14</v>
      </c>
      <c r="D26" s="1">
        <v>3</v>
      </c>
      <c r="E26" s="3" t="s">
        <v>42</v>
      </c>
      <c r="F26" s="9">
        <v>70</v>
      </c>
      <c r="G26" s="1">
        <v>3</v>
      </c>
      <c r="H26" s="3">
        <v>201021</v>
      </c>
      <c r="I26" s="9">
        <v>70</v>
      </c>
      <c r="J26" s="1">
        <v>3</v>
      </c>
      <c r="K26" s="6">
        <v>206011</v>
      </c>
      <c r="L26" s="9">
        <v>70</v>
      </c>
      <c r="M26" s="1">
        <v>3</v>
      </c>
      <c r="N26" s="3">
        <v>200042</v>
      </c>
      <c r="O26" s="11">
        <v>2000</v>
      </c>
      <c r="P26" s="1">
        <v>3</v>
      </c>
      <c r="Q26" s="8" t="s">
        <v>50</v>
      </c>
      <c r="R26" s="11">
        <v>4000</v>
      </c>
      <c r="S26" s="1" t="str">
        <f t="shared" si="1"/>
        <v>3#201011#70|3#201021#70|3#206011#70|3#200042#2000|3#206032#4000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6.5" spans="3:30">
      <c r="C27" s="2">
        <v>15</v>
      </c>
      <c r="D27" s="1">
        <v>3</v>
      </c>
      <c r="E27" s="3" t="s">
        <v>42</v>
      </c>
      <c r="F27" s="9">
        <v>100</v>
      </c>
      <c r="G27" s="1">
        <v>3</v>
      </c>
      <c r="H27" s="3">
        <v>201021</v>
      </c>
      <c r="I27" s="9">
        <v>100</v>
      </c>
      <c r="J27" s="1">
        <v>3</v>
      </c>
      <c r="K27" s="6">
        <v>206011</v>
      </c>
      <c r="L27" s="9">
        <v>100</v>
      </c>
      <c r="M27" s="1">
        <v>3</v>
      </c>
      <c r="N27" s="3">
        <v>200042</v>
      </c>
      <c r="O27" s="11">
        <v>2500</v>
      </c>
      <c r="P27" s="1">
        <v>3</v>
      </c>
      <c r="Q27" s="8" t="s">
        <v>50</v>
      </c>
      <c r="R27" s="11">
        <v>5500</v>
      </c>
      <c r="S27" s="1" t="str">
        <f t="shared" si="1"/>
        <v>3#201011#100|3#201021#100|3#206011#100|3#200042#2500|3#206032#5500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6.5" spans="3:30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6.5" spans="3:30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6.5" spans="3:30"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" t="s">
        <v>53</v>
      </c>
      <c r="M30" s="1"/>
      <c r="N30" s="1"/>
      <c r="O30" s="1"/>
      <c r="P30" s="1"/>
      <c r="Q30" s="1"/>
      <c r="R30" s="1"/>
      <c r="S30" s="1"/>
      <c r="T30" s="1" t="s">
        <v>54</v>
      </c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6.5" spans="3:30">
      <c r="C31" s="1"/>
      <c r="D31" s="1" t="s">
        <v>55</v>
      </c>
      <c r="E31" s="1"/>
      <c r="F31" s="1"/>
      <c r="G31" s="1"/>
      <c r="H31" s="1"/>
      <c r="I31" s="1"/>
      <c r="J31" s="1"/>
      <c r="K31" s="1"/>
      <c r="L31" s="1" t="s">
        <v>56</v>
      </c>
      <c r="M31" s="1"/>
      <c r="N31" s="1"/>
      <c r="O31" s="1"/>
      <c r="P31" s="1"/>
      <c r="Q31" s="1"/>
      <c r="R31" s="1"/>
      <c r="S31" s="1"/>
      <c r="T31" s="1" t="s">
        <v>57</v>
      </c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6.5" spans="3:30">
      <c r="C32" s="1"/>
      <c r="D32" s="1" t="s">
        <v>58</v>
      </c>
      <c r="E32" s="1"/>
      <c r="F32" s="1"/>
      <c r="G32" s="1"/>
      <c r="H32" s="1"/>
      <c r="I32" s="1"/>
      <c r="J32" s="1"/>
      <c r="K32" s="1"/>
      <c r="L32" s="1" t="s">
        <v>59</v>
      </c>
      <c r="M32" s="1"/>
      <c r="N32" s="1"/>
      <c r="O32" s="1"/>
      <c r="P32" s="1"/>
      <c r="Q32" s="1"/>
      <c r="R32" s="1"/>
      <c r="S32" s="1"/>
      <c r="T32" s="1" t="s">
        <v>60</v>
      </c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6.5" spans="3:30">
      <c r="C33" s="1"/>
      <c r="D33" s="1" t="s">
        <v>61</v>
      </c>
      <c r="E33" s="1"/>
      <c r="F33" s="1"/>
      <c r="G33" s="1"/>
      <c r="H33" s="1"/>
      <c r="I33" s="1"/>
      <c r="J33" s="1"/>
      <c r="K33" s="1"/>
      <c r="L33" s="1" t="s">
        <v>62</v>
      </c>
      <c r="M33" s="1"/>
      <c r="N33" s="1"/>
      <c r="O33" s="1"/>
      <c r="P33" s="1"/>
      <c r="Q33" s="1"/>
      <c r="R33" s="1"/>
      <c r="S33" s="1"/>
      <c r="T33" s="1" t="s">
        <v>63</v>
      </c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6.5" spans="3:30">
      <c r="C34" s="1"/>
      <c r="D34" s="1" t="s">
        <v>64</v>
      </c>
      <c r="E34" s="1"/>
      <c r="F34" s="1"/>
      <c r="G34" s="1"/>
      <c r="H34" s="1"/>
      <c r="I34" s="1"/>
      <c r="J34" s="1"/>
      <c r="K34" s="1"/>
      <c r="L34" s="1" t="s">
        <v>65</v>
      </c>
      <c r="M34" s="1"/>
      <c r="N34" s="1"/>
      <c r="O34" s="1"/>
      <c r="P34" s="1"/>
      <c r="Q34" s="1"/>
      <c r="R34" s="1"/>
      <c r="S34" s="1"/>
      <c r="T34" s="1" t="s">
        <v>66</v>
      </c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6.5" spans="3:30">
      <c r="C35" s="1"/>
      <c r="D35" s="1" t="s">
        <v>67</v>
      </c>
      <c r="E35" s="1"/>
      <c r="F35" s="1"/>
      <c r="G35" s="1"/>
      <c r="H35" s="1"/>
      <c r="I35" s="1"/>
      <c r="J35" s="1"/>
      <c r="K35" s="1"/>
      <c r="L35" s="1" t="s">
        <v>68</v>
      </c>
      <c r="M35" s="1"/>
      <c r="N35" s="1"/>
      <c r="O35" s="1"/>
      <c r="P35" s="1"/>
      <c r="Q35" s="1"/>
      <c r="R35" s="1"/>
      <c r="S35" s="1"/>
      <c r="T35" s="1" t="s">
        <v>69</v>
      </c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6.5" spans="3:30">
      <c r="C36" s="1"/>
      <c r="D36" s="1" t="s">
        <v>70</v>
      </c>
      <c r="E36" s="1"/>
      <c r="F36" s="1"/>
      <c r="G36" s="1"/>
      <c r="H36" s="1"/>
      <c r="I36" s="1"/>
      <c r="J36" s="1"/>
      <c r="K36" s="1"/>
      <c r="L36" s="1" t="s">
        <v>71</v>
      </c>
      <c r="M36" s="1"/>
      <c r="N36" s="1"/>
      <c r="O36" s="1"/>
      <c r="P36" s="1"/>
      <c r="Q36" s="1"/>
      <c r="R36" s="1"/>
      <c r="S36" s="1"/>
      <c r="T36" s="1" t="s">
        <v>72</v>
      </c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6.5" spans="3:30">
      <c r="C37" s="1"/>
      <c r="D37" s="1" t="s">
        <v>73</v>
      </c>
      <c r="E37" s="1"/>
      <c r="F37" s="1"/>
      <c r="G37" s="1"/>
      <c r="H37" s="1"/>
      <c r="I37" s="1"/>
      <c r="J37" s="1"/>
      <c r="K37" s="1"/>
      <c r="L37" s="1" t="s">
        <v>74</v>
      </c>
      <c r="M37" s="1"/>
      <c r="N37" s="1"/>
      <c r="O37" s="1"/>
      <c r="P37" s="1"/>
      <c r="Q37" s="1"/>
      <c r="R37" s="1"/>
      <c r="S37" s="1"/>
      <c r="T37" s="1" t="s">
        <v>75</v>
      </c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6.5" spans="3:30">
      <c r="C38" s="1"/>
      <c r="D38" s="1" t="s">
        <v>76</v>
      </c>
      <c r="E38" s="1"/>
      <c r="F38" s="1"/>
      <c r="G38" s="1"/>
      <c r="H38" s="1"/>
      <c r="I38" s="1"/>
      <c r="J38" s="1"/>
      <c r="K38" s="1"/>
      <c r="L38" s="1" t="s">
        <v>77</v>
      </c>
      <c r="M38" s="1"/>
      <c r="N38" s="1"/>
      <c r="O38" s="1"/>
      <c r="P38" s="1"/>
      <c r="Q38" s="1"/>
      <c r="R38" s="1"/>
      <c r="S38" s="1"/>
      <c r="T38" s="1" t="s">
        <v>78</v>
      </c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6.5" spans="3:30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6.5" spans="3:30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6.5" spans="3:30">
      <c r="C41" s="1"/>
      <c r="D41" s="1"/>
      <c r="E41" s="1" t="str">
        <f t="shared" ref="E41:E49" si="2">_xlfn.CONCAT(D30,"|",L30,"|",T30)</f>
        <v>1#201011#3|1#201021#3|1#206011#3|2#202011#3|2#202021#3|2#206011#3|3#201011#3|3#201021#3|3#206011#3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6.5" spans="3:30">
      <c r="C42" s="1"/>
      <c r="D42" s="1"/>
      <c r="E42" s="1" t="str">
        <f t="shared" si="2"/>
        <v>1#201011#6|1#201021#6|1#206011#6|2#202011#6|2#202021#6|2#206011#6|3#201011#6|3#201021#6|3#206011#6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6.5" spans="3:30">
      <c r="C43" s="1"/>
      <c r="D43" s="1"/>
      <c r="E43" s="1" t="str">
        <f t="shared" si="2"/>
        <v>1#201011#10|1#201021#10|1#206011#10|2#202011#10|2#202021#10|2#206011#10|3#201011#10|3#201021#10|3#206011#10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6.5" spans="3:30">
      <c r="C44" s="1"/>
      <c r="D44" s="1"/>
      <c r="E44" s="1" t="str">
        <f t="shared" si="2"/>
        <v>1#201011#15|1#201021#15|1#206011#15|1#200042#250|1#206032#500|2#202011#15|2#202021#15|2#206011#15|2#200042#250|2#206032#500|3#201011#15|3#201021#15|3#206011#15|3#200042#250|3#206032#500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6.5" spans="3:30">
      <c r="C45" s="1"/>
      <c r="D45" s="1"/>
      <c r="E45" s="1" t="str">
        <f t="shared" si="2"/>
        <v>1#201011#23|1#201021#23|1#206011#23|1#200042#500|1#206032#1000|2#202011#23|2#202021#23|2#206011#23|2#200042#500|2#206032#1000|3#201011#23|3#201021#23|3#206011#23|3#200042#500|3#206032#1000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6.5" spans="3:30">
      <c r="C46" s="1"/>
      <c r="D46" s="1"/>
      <c r="E46" s="1" t="str">
        <f t="shared" si="2"/>
        <v>1#201011#34|1#201021#34|1#206011#34|1#200042#1000|1#206032#1800|2#202011#34|2#202021#34|2#206011#34|2#200042#1000|2#206032#1800|3#201011#34|3#201021#34|3#206011#34|3#200042#1000|3#206032#1800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6.5" spans="3:30">
      <c r="C47" s="1"/>
      <c r="D47" s="1"/>
      <c r="E47" s="1" t="str">
        <f t="shared" si="2"/>
        <v>1#201011#49|1#201021#49|1#206011#49|1#200042#1500|1#206032#2800|2#202011#49|2#202021#49|2#206011#49|2#200042#1500|2#206032#2800|3#201011#49|3#201021#49|3#206011#49|3#200042#1500|3#206032#2800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6.5" spans="3:30">
      <c r="C48" s="1"/>
      <c r="D48" s="1"/>
      <c r="E48" s="1" t="str">
        <f t="shared" si="2"/>
        <v>1#201011#70|1#201021#70|1#206011#70|1#200042#2000|1#206032#4000|2#202011#70|2#202021#70|2#206011#70|2#200042#2000|2#206032#4000|3#201011#70|3#201021#70|3#206011#70|3#200042#2000|3#206032#4000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6.5" spans="3:30">
      <c r="C49" s="1"/>
      <c r="D49" s="1"/>
      <c r="E49" s="1" t="str">
        <f t="shared" si="2"/>
        <v>1#201011#100|1#201021#100|1#206011#100|1#200042#2500|1#206032#5500|2#202011#100|2#202021#100|2#206011#100|2#200042#2500|2#206032#5500|3#201011#100|3#201021#100|3#206011#100|3#200042#2500|3#206032#5500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6.5" spans="3:30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6.5" spans="3:30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</sheetData>
  <conditionalFormatting sqref="E13">
    <cfRule type="duplicateValues" dxfId="0" priority="45"/>
  </conditionalFormatting>
  <conditionalFormatting sqref="E15">
    <cfRule type="duplicateValues" dxfId="0" priority="40"/>
  </conditionalFormatting>
  <conditionalFormatting sqref="E17">
    <cfRule type="duplicateValues" dxfId="0" priority="35"/>
  </conditionalFormatting>
  <conditionalFormatting sqref="K19">
    <cfRule type="duplicateValues" dxfId="0" priority="30"/>
  </conditionalFormatting>
  <conditionalFormatting sqref="E7:E8">
    <cfRule type="duplicateValues" dxfId="0" priority="55"/>
  </conditionalFormatting>
  <conditionalFormatting sqref="E10:E11">
    <cfRule type="duplicateValues" dxfId="0" priority="50"/>
  </conditionalFormatting>
  <conditionalFormatting sqref="E19:E27">
    <cfRule type="duplicateValues" dxfId="0" priority="10"/>
  </conditionalFormatting>
  <conditionalFormatting sqref="H19:H27">
    <cfRule type="duplicateValues" dxfId="0" priority="5"/>
  </conditionalFormatting>
  <conditionalFormatting sqref="K20:K27">
    <cfRule type="duplicateValues" dxfId="0" priority="25"/>
  </conditionalFormatting>
  <conditionalFormatting sqref="N22:N27">
    <cfRule type="duplicateValues" dxfId="0" priority="20"/>
  </conditionalFormatting>
  <conditionalFormatting sqref="Q22:Q27">
    <cfRule type="duplicateValues" dxfId="0" priority="1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cfg_equip_master</vt:lpstr>
      <vt:lpstr>公式页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玖零</cp:lastModifiedBy>
  <dcterms:created xsi:type="dcterms:W3CDTF">2022-12-09T08:17:00Z</dcterms:created>
  <dcterms:modified xsi:type="dcterms:W3CDTF">2025-12-16T08:46:18Z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E7E47B9CA25C4C0794BB62AFC7F8B93A</vt:lpwstr>
  </property>
  <property fmtid="{D5CDD505-2E9C-101B-9397-08002B2CF9AE}" pid="3" name="KSOProductBuildVer">
    <vt:lpwstr>2052-12.1.0.22529</vt:lpwstr>
  </property>
</Properties>
</file>