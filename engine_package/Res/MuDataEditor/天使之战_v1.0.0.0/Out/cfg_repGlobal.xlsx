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cfg_repGlobal" sheetId="1" r:id="rId1"/>
    <sheet name="参照表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<sst xmlns="http://schemas.openxmlformats.org/spreadsheetml/2006/main" count="752" uniqueCount="149">
  <si>
    <t>id</t>
  </si>
  <si>
    <t>分类标记</t>
  </si>
  <si>
    <t>参数</t>
  </si>
  <si>
    <t>说明</t>
  </si>
  <si>
    <t>对应副本类型</t>
  </si>
  <si>
    <t>每个id程序单独写死</t>
  </si>
  <si>
    <t>目前仅策划使用</t>
  </si>
  <si>
    <t>参数为对应内容参数</t>
  </si>
  <si>
    <t>该项的功能说明</t>
  </si>
  <si>
    <t>int#c#s</t>
  </si>
  <si>
    <t>string#c#s</t>
  </si>
  <si>
    <t>type</t>
  </si>
  <si>
    <t>value</t>
  </si>
  <si>
    <t>remarks</t>
  </si>
  <si>
    <t>repID</t>
  </si>
  <si>
    <t>恶魔广场&amp;血色城堡</t>
  </si>
  <si>
    <t>副本内匹配人数上限</t>
  </si>
  <si>
    <t>剩余X秒可跳过准备阶段时间</t>
  </si>
  <si>
    <t>恶魔广场</t>
  </si>
  <si>
    <t>1#1#4320|2#1#12240|3#1#26040|4#1#55560|5#1#105600|6#1#211800|7#1#381000</t>
  </si>
  <si>
    <t>怪物积分，格式：副本等级#积分#积分经验|副本等级#积分#积分经验</t>
  </si>
  <si>
    <t>2#50010008#1#1</t>
  </si>
  <si>
    <t>奖励多倍领取，格式：X倍领取#消耗道具#数量#额外消耗次数#等级限制|X倍领取#消耗道具#数量#额外消耗次数#等级限制|X倍领取#消耗道具#数量#额外消耗次数#等级限制</t>
  </si>
  <si>
    <t>2#500|3#1000|4#1500|5#2000</t>
  </si>
  <si>
    <t>组队经验加成。人数#经验加成</t>
  </si>
  <si>
    <t>血色城堡</t>
  </si>
  <si>
    <t>进入副本后，刷新npc，填npc ID</t>
  </si>
  <si>
    <t>12#69|13#69|14#69|15#69|16#69</t>
  </si>
  <si>
    <t>阶段1 阻挡范围   x#y|x#y|x#y</t>
  </si>
  <si>
    <t>1#11001007#14#76|2#11002007#14#76|3#11003007#14#76|4#11004007#14#76|5#11005007#14#76|6#11006007#14#76|7#11007007#14#76|8#11008007#14#76|9#11009007#14#76|10#11010007#14#76</t>
  </si>
  <si>
    <t>阶段1 刷新城门怪  格式：副本等级#怪物ID#怪物坐标</t>
  </si>
  <si>
    <t>12#76|13#76|14#76|15#76|16#76</t>
  </si>
  <si>
    <t>阶段2 城门阻挡范围   x#y|x#y|x#y</t>
  </si>
  <si>
    <t>1#11001008#14#95|2#11002008#14#95|3#11003008#14#95|4#11004008#14#95|5#11005008#14#95|6#11006008#14#95|7#11007008#14#95|8#11008008#14#95|9#11009008#14#95|10#11010008#14#95</t>
  </si>
  <si>
    <t>阶段4刷新灵柩怪  格式：副本等级#怪物ID#怪物坐标</t>
  </si>
  <si>
    <t>2#50010009#1#1</t>
  </si>
  <si>
    <t>13#14|14#14|15#14</t>
  </si>
  <si>
    <t>准备阶段 阻挡范围   x#y|x#y|x#y</t>
  </si>
  <si>
    <t>勇气试炼</t>
  </si>
  <si>
    <t>12001#12100</t>
  </si>
  <si>
    <t>勇气试炼第一层&amp;最后一层</t>
  </si>
  <si>
    <t>100#21600003#1</t>
  </si>
  <si>
    <t>勇气试炼阶段大奖。层数#道具id#道具数量</t>
  </si>
  <si>
    <t>100#100creward</t>
  </si>
  <si>
    <t>勇气试炼阶段大奖。层数#图片名|层数#图片名</t>
  </si>
  <si>
    <t>战盟BOSS</t>
  </si>
  <si>
    <t>前N个通关的战盟获得拍卖奖励</t>
  </si>
  <si>
    <t>战盟分红比例，单位：万比</t>
  </si>
  <si>
    <t>1#101301|2#101302|3#101303|4#101304</t>
  </si>
  <si>
    <t>层级#传送点位置；注意层级数量需与任务数量（cfg_repTask）对应；最后一层不存在传送点</t>
  </si>
  <si>
    <r>
      <rPr>
        <sz val="11"/>
        <rFont val="宋体"/>
        <charset val="134"/>
      </rPr>
      <t>战盟</t>
    </r>
    <r>
      <rPr>
        <sz val="11"/>
        <rFont val="Calibri"/>
        <charset val="134"/>
      </rPr>
      <t>BOSS</t>
    </r>
  </si>
  <si>
    <t>10090001#1000</t>
  </si>
  <si>
    <t>战盟奖励，每击杀一只BOSS战盟获取对应奖励；格式：道具ID#数量；仅支持配置战盟资源道具</t>
  </si>
  <si>
    <t>狼魂要塞</t>
  </si>
  <si>
    <t>狼魂要塞副本ID</t>
  </si>
  <si>
    <t>狼魂要塞，怪物初始对狼神台的仇恨</t>
  </si>
  <si>
    <t>攻城战</t>
  </si>
  <si>
    <t>4#20#0</t>
  </si>
  <si>
    <t>攻城战 额外开的场次 开服第X天开启 配置天数 # 小时 #分</t>
  </si>
  <si>
    <t>战盟人数不足X人时将自动取消活动资格</t>
  </si>
  <si>
    <t>86#48#3|95#221#3</t>
  </si>
  <si>
    <t>攻城战 攻方传送点#范围|守方传送点#范围</t>
  </si>
  <si>
    <t>72#120#39#57|90#100#218#224</t>
  </si>
  <si>
    <t>攻城战准备区  攻方|守方</t>
  </si>
  <si>
    <t>16001001#16001101</t>
  </si>
  <si>
    <t>攻城战任务  攻方#守方 reptask表ID</t>
  </si>
  <si>
    <t>攻城战 玩家使用范围型技能时，对地方造成X%的伤害。技能目标&gt;1</t>
  </si>
  <si>
    <t>95#221</t>
  </si>
  <si>
    <t>攻城战守方复活点</t>
  </si>
  <si>
    <t>16001001#86#48|16001002#95#147|16001003#93#189|16001004#95#221</t>
  </si>
  <si>
    <t>攻城战攻方复活点，随阶段推进，修改复活点. 攻方任务ID#x#y|攻方任务ID#x#y</t>
  </si>
  <si>
    <t>67#114#66#114#66#115#67#115#68#114#68#115#69#114|93#114#92#114#92#115#93#115#94#114#94#115#95#114|119#114#118#114#118#115#119#115#120#114#120#115#121#114|107#161#106#161#106#162#107#162#108#161#108#162#109#161|81#161#80#161#80#162#81#162#82#161#82#162#83#161|93#204#92#204#92#205#93#205#94#204#94#205#95#204</t>
  </si>
  <si>
    <t>攻城战不可进入区 建筑怪坐标#不可进入区|建筑怪坐标#不可进入区</t>
  </si>
  <si>
    <t>46004#46005#46006#46007|55</t>
  </si>
  <si>
    <t>攻城战守护石像怪击杀后，传送门才可生效。怪1#怪2#怪3#怪4|传送门 mapMove ID</t>
  </si>
  <si>
    <t>Effect/Skill/Eff_yujing_yuan_qiji4.prefab|176.5#0.6#204.5#1.6</t>
  </si>
  <si>
    <t>龙之塔占领区 区域</t>
  </si>
  <si>
    <t>读条时间</t>
  </si>
  <si>
    <t>176.5#204.5#5</t>
  </si>
  <si>
    <t>龙之塔占领区 中心点#范围</t>
  </si>
  <si>
    <t>1#1&amp;10240001#5000|2#2&amp;10240001#3000|3#3&amp;10240001#2000</t>
  </si>
  <si>
    <t>排名区间&amp;奖励道具#数量&amp;奖励道具#数量|排名区间&amp;奖励道具#数量&amp;奖励道具#数量</t>
  </si>
  <si>
    <t>21500004#1</t>
  </si>
  <si>
    <t>胜利方盟主奖励</t>
  </si>
  <si>
    <t>胜利方战盟成员奖励</t>
  </si>
  <si>
    <t>失败方战盟成员奖励</t>
  </si>
  <si>
    <t>1#10#6000#60</t>
  </si>
  <si>
    <t>攻城方得分：单次攻击建筑得分#击杀玩家积分#获得1点积分所需要造成的伤害/治疗量（累计）#成功占领罗兰之冠所获得的积分</t>
  </si>
  <si>
    <t>10#6000#1</t>
  </si>
  <si>
    <t>守城方得分：击杀玩家积分#获得1点积分所需要造成的伤害/治疗量（累计）#第8阶段后，每在罗兰之冠出停留时间达到X秒，获得1分</t>
  </si>
  <si>
    <t>活动奖励领取需求最低个人积分</t>
  </si>
  <si>
    <t>16001004#16001104</t>
  </si>
  <si>
    <t>进入龙之塔的阶段（repTask ID，攻#防)</t>
  </si>
  <si>
    <t>单次攻击建筑得分</t>
  </si>
  <si>
    <t>击杀玩家积分</t>
  </si>
  <si>
    <t>获得1点积分所需要造成的伤害</t>
  </si>
  <si>
    <t>成功占领罗兰之冠所获得的积分</t>
  </si>
  <si>
    <t>第8阶段后，每在罗兰之冠出停留时间达到X秒，获得1分</t>
  </si>
  <si>
    <t>赤色要塞</t>
  </si>
  <si>
    <t>17001#17002#17003#17004#17005#17006</t>
  </si>
  <si>
    <t>玩法规则：赤色要塞副本ID</t>
  </si>
  <si>
    <t>特权BOSS</t>
  </si>
  <si>
    <t>黄金特权玩家每日额外恢复1次挑战次数；</t>
  </si>
  <si>
    <t>钻石特权玩家每日额外恢复2次挑战次数；</t>
  </si>
  <si>
    <t>开启后免费获得的挑战次数；</t>
  </si>
  <si>
    <t>大秘境</t>
  </si>
  <si>
    <t>大秘境钥匙itemID</t>
  </si>
  <si>
    <t>通关后，钥匙默认升级时间，单位秒。</t>
  </si>
  <si>
    <t>3#3</t>
  </si>
  <si>
    <t>每日增加得奖励次数#奖励次数上限</t>
  </si>
  <si>
    <t>通关后，奖励默认不领取时间，单位秒。</t>
  </si>
  <si>
    <t>1#0</t>
  </si>
  <si>
    <t>大秘境挑战刷新时间：1#X，每天X点刷新；2#X，每周一早上X点刷新</t>
  </si>
  <si>
    <t>S</t>
  </si>
  <si>
    <t>大秘境开启扫荡条件。</t>
  </si>
  <si>
    <t>昆顿入侵</t>
  </si>
  <si>
    <t>1#100</t>
  </si>
  <si>
    <t>对昆顿造成伤害与获得积分比例。昆顿血量万分比#积分数</t>
  </si>
  <si>
    <t>掠夺被击杀玩家积分比例。万分比</t>
  </si>
  <si>
    <t>1#1#10200001#100#50030001#10#50030002#10#50030004#10|2#10#10200001#90#50030001#9#50030002#9#50030004#9</t>
  </si>
  <si>
    <r>
      <rPr>
        <sz val="11"/>
        <rFont val="宋体"/>
        <charset val="134"/>
      </rPr>
      <t>个人排名奖励。格式：最高排名#最低排名#道具1id#道具1数量#道具</t>
    </r>
    <r>
      <rPr>
        <sz val="11"/>
        <rFont val="Calibri"/>
        <charset val="134"/>
      </rPr>
      <t>2id#</t>
    </r>
    <r>
      <rPr>
        <sz val="11"/>
        <rFont val="宋体"/>
        <charset val="134"/>
      </rPr>
      <t>道具</t>
    </r>
    <r>
      <rPr>
        <sz val="11"/>
        <rFont val="Calibri"/>
        <charset val="134"/>
      </rPr>
      <t>2</t>
    </r>
    <r>
      <rPr>
        <sz val="11"/>
        <rFont val="宋体"/>
        <charset val="134"/>
      </rPr>
      <t>数量</t>
    </r>
    <r>
      <rPr>
        <sz val="11"/>
        <rFont val="Calibri"/>
        <charset val="134"/>
      </rPr>
      <t>#</t>
    </r>
    <r>
      <rPr>
        <sz val="11"/>
        <rFont val="宋体"/>
        <charset val="134"/>
      </rPr>
      <t>道具</t>
    </r>
    <r>
      <rPr>
        <sz val="11"/>
        <rFont val="Calibri"/>
        <charset val="134"/>
      </rPr>
      <t>3id#</t>
    </r>
    <r>
      <rPr>
        <sz val="11"/>
        <rFont val="宋体"/>
        <charset val="134"/>
      </rPr>
      <t>道具</t>
    </r>
    <r>
      <rPr>
        <sz val="11"/>
        <rFont val="Calibri"/>
        <charset val="134"/>
      </rPr>
      <t>3</t>
    </r>
    <r>
      <rPr>
        <sz val="11"/>
        <rFont val="宋体"/>
        <charset val="134"/>
      </rPr>
      <t>数量</t>
    </r>
    <r>
      <rPr>
        <sz val="11"/>
        <rFont val="Calibri"/>
        <charset val="134"/>
      </rPr>
      <t>#</t>
    </r>
    <r>
      <rPr>
        <sz val="11"/>
        <rFont val="宋体"/>
        <charset val="134"/>
      </rPr>
      <t>道具</t>
    </r>
    <r>
      <rPr>
        <sz val="11"/>
        <rFont val="Calibri"/>
        <charset val="134"/>
      </rPr>
      <t>4id#</t>
    </r>
    <r>
      <rPr>
        <sz val="11"/>
        <rFont val="宋体"/>
        <charset val="134"/>
      </rPr>
      <t>道具</t>
    </r>
    <r>
      <rPr>
        <sz val="11"/>
        <rFont val="Calibri"/>
        <charset val="134"/>
      </rPr>
      <t>4</t>
    </r>
    <r>
      <rPr>
        <sz val="11"/>
        <rFont val="宋体"/>
        <charset val="134"/>
      </rPr>
      <t>数量。最高排名和最低排名相同时就不显示区间，只显示这个排名</t>
    </r>
  </si>
  <si>
    <t>拍卖分红手续费比例。万分比</t>
  </si>
  <si>
    <t>稀有道具id。</t>
  </si>
  <si>
    <t>100</t>
  </si>
  <si>
    <t>上榜最低积分</t>
  </si>
  <si>
    <t>当前积分榜刷新频率（秒）</t>
  </si>
  <si>
    <r>
      <rPr>
        <sz val="11"/>
        <rFont val="宋体"/>
        <charset val="134"/>
      </rPr>
      <t>巨龙</t>
    </r>
    <r>
      <rPr>
        <sz val="11"/>
        <rFont val="Calibri"/>
        <charset val="134"/>
      </rPr>
      <t>#</t>
    </r>
    <r>
      <rPr>
        <sz val="11"/>
        <rFont val="宋体"/>
        <charset val="134"/>
      </rPr>
      <t>猎鹰</t>
    </r>
    <r>
      <rPr>
        <sz val="11"/>
        <rFont val="Calibri"/>
        <charset val="134"/>
      </rPr>
      <t>#</t>
    </r>
    <r>
      <rPr>
        <sz val="11"/>
        <rFont val="宋体"/>
        <charset val="134"/>
      </rPr>
      <t>苍狼</t>
    </r>
  </si>
  <si>
    <r>
      <rPr>
        <sz val="11"/>
        <rFont val="宋体"/>
        <charset val="134"/>
      </rPr>
      <t>阵营名称#阵营名称</t>
    </r>
    <r>
      <rPr>
        <sz val="11"/>
        <rFont val="Calibri"/>
        <charset val="134"/>
      </rPr>
      <t>#</t>
    </r>
    <r>
      <rPr>
        <sz val="11"/>
        <rFont val="宋体"/>
        <charset val="134"/>
      </rPr>
      <t>阵营名称</t>
    </r>
  </si>
  <si>
    <t>27001001</t>
  </si>
  <si>
    <t>咒怨魔王</t>
  </si>
  <si>
    <t>进入二阶段倒计时</t>
  </si>
  <si>
    <t>27001</t>
  </si>
  <si>
    <t>卡利玛神庙</t>
  </si>
  <si>
    <t>卡利玛神庙扫荡次数，配置格式：整数</t>
  </si>
  <si>
    <t>1#1#150|2#1#250|3#1#768|4#1#1513|5#1#2714|6#1#5428|7#1#10617|8#1#17794|9#1#26823|10#1#40434|11#1#60952|12#1#80015|13#1#95894|14#1#117688|15#1#143659|16#1#163132|17#1#184470|18#1#207665|19#1#228588|20#1#247188</t>
  </si>
  <si>
    <t>1#1&amp;10020001#10000&amp;50040093#120&amp;50044001#25|2#2&amp;10020001#9000&amp;50040093#100&amp;50044001#20|3#3&amp;10020001#8000&amp;50040093#80&amp;50044001#15|4#10&amp;10020001#6000&amp;50040093#60&amp;50044001#10|11#20&amp;10020001#5000&amp;50040093#50&amp;50044001#5|21#50&amp;10020001#3000&amp;50040093#40&amp;50044001#5|51#9999&amp;10020001#2000</t>
  </si>
  <si>
    <t>21500004#1|21600057#1</t>
  </si>
  <si>
    <t>10120001#400|10090001#7000|50040093#20|50044001#2</t>
  </si>
  <si>
    <t>10120001#300|10090001#5000</t>
  </si>
  <si>
    <t>1#1#150|2#1#250|3#1#341|4#1#674|5#1#1196|6#1#2393|7#1#4674|8#1#7850|9#1#11875|10#1#17963</t>
  </si>
  <si>
    <t>2#1000|3#1500|4#2000|5#3000</t>
  </si>
  <si>
    <t>10100001#1000|10090001#1000</t>
  </si>
  <si>
    <t>1#1&amp;10020001#10000&amp;1241#120&amp;50044001#25|2#2&amp;10020001#9000&amp;1241#100&amp;50044001#20|3#3&amp;10020001#8000&amp;1241#80&amp;50044001#15|4#10&amp;10020001#6000&amp;1241#60&amp;50044001#10|11#20&amp;10020001#5000&amp;1241#50&amp;50044001#5|21#50&amp;10020001#3000&amp;1241#40&amp;50044001#5|51#9999&amp;10020001#2000</t>
  </si>
  <si>
    <t>1543#1|21600057#1</t>
  </si>
  <si>
    <t>10120001#400|10090001#7000|1241#20|50044001#2</t>
  </si>
  <si>
    <t>1#1#10200001#100#50030001#10#50030002#10#50030004#10|2#10#10200001#50#50030001#9#50030002#9#50030004#9</t>
  </si>
  <si>
    <t>个人排名奖励。格式：最高排名#最低排名#道具1id#道具1数量#道具2id#道具2数量#道具3id#道具3数量#道具4id#道具4数量。最高排名和最低排名相同时就不显示区间，只显示这个排名</t>
  </si>
  <si>
    <t>巨龙#猎鹰#苍狼</t>
  </si>
  <si>
    <t>阵营名称#阵营名称#阵营名称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</si>
</sst>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name val="Calibri"/>
      <charset val="134"/>
    </font>
    <font>
      <sz val="11"/>
      <color rgb="FF000000"/>
      <name val="Calibri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theme="0" tint="-0.49994000792503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8" borderId="4" applyNumberFormat="0" applyAlignment="0" applyProtection="0">
      <alignment vertical="center"/>
    </xf>
    <xf numFmtId="0" fontId="16" fillId="9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42">
    <xf numFmtId="0" fontId="0" fillId="0" borderId="0" xfId="0" applyNumberFormat="1" applyFont="1"/>
    <xf numFmtId="0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horizontal="left" vertical="center"/>
    </xf>
    <xf numFmtId="0" fontId="0" fillId="2" borderId="0" xfId="0" applyNumberFormat="1" applyFont="1" applyFill="1" applyAlignment="1">
      <alignment horizontal="left" vertical="center"/>
    </xf>
    <xf numFmtId="0" fontId="0" fillId="3" borderId="0" xfId="0" applyNumberFormat="1" applyFont="1" applyFill="1" applyAlignment="1">
      <alignment horizontal="left" vertical="center"/>
    </xf>
    <xf numFmtId="0" fontId="0" fillId="3" borderId="0" xfId="0" applyNumberFormat="1" applyFont="1" applyFill="1"/>
    <xf numFmtId="49" fontId="0" fillId="0" borderId="0" xfId="0" applyNumberFormat="1" applyFont="1"/>
    <xf numFmtId="0" fontId="1" fillId="0" borderId="0" xfId="0" applyNumberFormat="1" applyFont="1" applyAlignment="1">
      <alignment horizontal="left" vertical="center"/>
    </xf>
    <xf numFmtId="0" fontId="1" fillId="2" borderId="0" xfId="0" applyNumberFormat="1" applyFont="1" applyFill="1" applyAlignment="1">
      <alignment horizontal="left" vertical="center"/>
    </xf>
    <xf numFmtId="0" fontId="1" fillId="0" borderId="0" xfId="0" applyNumberFormat="1" applyFont="1" applyAlignment="1"/>
    <xf numFmtId="0" fontId="0" fillId="0" borderId="0" xfId="0" applyNumberFormat="1" applyFont="1" applyAlignment="1">
      <alignment wrapText="1"/>
    </xf>
    <xf numFmtId="0" fontId="2" fillId="0" borderId="0" xfId="0" applyNumberFormat="1" applyFont="1"/>
    <xf numFmtId="0" fontId="0" fillId="0" borderId="0" xfId="0" applyNumberFormat="1" applyFont="1" applyAlignment="1">
      <alignment vertical="center" wrapText="1"/>
    </xf>
    <xf numFmtId="0" fontId="2" fillId="0" borderId="0" xfId="0" applyNumberFormat="1" applyFont="1" applyAlignment="1">
      <alignment horizontal="left" vertical="center"/>
    </xf>
    <xf numFmtId="0" fontId="2" fillId="0" borderId="0" xfId="0" applyNumberFormat="1" applyFont="1" applyAlignment="1">
      <alignment horizontal="left" vertical="center" wrapText="1"/>
    </xf>
    <xf numFmtId="0" fontId="2" fillId="2" borderId="0" xfId="0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horizontal="left" vertical="center" wrapText="1"/>
    </xf>
    <xf numFmtId="0" fontId="2" fillId="3" borderId="0" xfId="0" applyNumberFormat="1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 vertical="center" wrapText="1"/>
    </xf>
    <xf numFmtId="0" fontId="2" fillId="3" borderId="0" xfId="0" applyNumberFormat="1" applyFont="1" applyFill="1" applyAlignment="1">
      <alignment wrapText="1"/>
    </xf>
    <xf numFmtId="0" fontId="2" fillId="0" borderId="0" xfId="0" applyNumberFormat="1" applyFont="1" applyAlignment="1">
      <alignment wrapText="1"/>
    </xf>
    <xf numFmtId="49" fontId="2" fillId="0" borderId="0" xfId="0" applyNumberFormat="1" applyFont="1"/>
    <xf numFmtId="49" fontId="2" fillId="0" borderId="0" xfId="0" applyNumberFormat="1" applyFont="1" applyAlignment="1">
      <alignment wrapText="1"/>
    </xf>
    <xf numFmtId="0" fontId="0" fillId="0" borderId="0" xfId="0" applyNumberFormat="1" applyFont="1" applyAlignment="1">
      <alignment horizontal="left"/>
    </xf>
    <xf numFmtId="0" fontId="3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left" vertical="center" wrapText="1"/>
    </xf>
    <xf numFmtId="0" fontId="3" fillId="2" borderId="0" xfId="0" applyNumberFormat="1" applyFont="1" applyFill="1" applyAlignment="1">
      <alignment horizontal="left" vertical="center"/>
    </xf>
    <xf numFmtId="0" fontId="3" fillId="2" borderId="0" xfId="0" applyNumberFormat="1" applyFont="1" applyFill="1" applyAlignment="1">
      <alignment horizontal="left" vertical="center" wrapText="1"/>
    </xf>
    <xf numFmtId="49" fontId="1" fillId="0" borderId="0" xfId="0" applyNumberFormat="1" applyFont="1" applyAlignment="1"/>
    <xf numFmtId="49" fontId="3" fillId="0" borderId="0" xfId="0" applyNumberFormat="1" applyFont="1" applyAlignment="1"/>
    <xf numFmtId="0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wrapText="1"/>
    </xf>
    <xf numFmtId="0" fontId="0" fillId="0" borderId="0" xfId="0" applyNumberFormat="1" applyFont="1" applyFill="1" applyAlignment="1">
      <alignment vertical="center"/>
    </xf>
    <xf numFmtId="0" fontId="1" fillId="4" borderId="0" xfId="0" applyNumberFormat="1" applyFont="1" applyFill="1" applyAlignment="1">
      <alignment horizontal="left" vertical="center"/>
    </xf>
    <xf numFmtId="0" fontId="1" fillId="4" borderId="0" xfId="0" applyNumberFormat="1" applyFont="1" applyFill="1" applyAlignment="1"/>
    <xf numFmtId="0" fontId="0" fillId="0" borderId="0" xfId="0" applyNumberFormat="1" applyFont="1" applyFill="1"/>
    <xf numFmtId="0" fontId="0" fillId="0" borderId="0" xfId="0" applyNumberFormat="1" applyFont="1" applyFill="1" applyAlignment="1">
      <alignment wrapText="1"/>
    </xf>
    <xf numFmtId="0" fontId="2" fillId="0" borderId="0" xfId="0" applyNumberFormat="1" applyFont="1" applyFill="1"/>
    <xf numFmtId="0" fontId="0" fillId="0" borderId="0" xfId="0" applyNumberFormat="1" applyFont="1" applyFill="1" applyAlignment="1">
      <alignment vertical="center" wrapText="1"/>
    </xf>
    <xf numFmtId="0" fontId="2" fillId="0" borderId="0" xfId="0" applyNumberFormat="1" applyFont="1" applyAlignment="1">
      <alignment horizontal="left"/>
    </xf>
    <xf numFmtId="0" fontId="0" fillId="0" borderId="0" xfId="0" applyNumberFormat="1" applyFont="1" applyAlignment="1">
      <alignment horizontal="left" wrapText="1"/>
    </xf>
    <xf numFmtId="0" fontId="0" fillId="5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tabSelected="1" workbookViewId="0">
      <pane xSplit="2" ySplit="4" topLeftCell="C27" activePane="bottomRight" state="frozen"/>
      <selection/>
      <selection pane="topRight"/>
      <selection pane="bottomLeft"/>
      <selection pane="bottomRight" activeCell="C41" sqref="C41"/>
    </sheetView>
  </sheetViews>
  <sheetFormatPr defaultColWidth="9" defaultRowHeight="15" outlineLevelCol="4"/>
  <cols>
    <col min="1" max="2" width="35.7142857142857" style="35" customWidth="1"/>
    <col min="3" max="3" width="63.1428571428571" style="35" customWidth="1"/>
    <col min="4" max="4" width="93" style="36" customWidth="1"/>
    <col min="5" max="5" width="35.7142857142857" style="35" customWidth="1"/>
    <col min="6" max="16384" width="9" style="35"/>
  </cols>
  <sheetData>
    <row r="1" spans="1:5">
      <c r="A1" s="35" t="s">
        <v>0</v>
      </c>
      <c r="B1" s="35" t="s">
        <v>1</v>
      </c>
      <c r="C1" s="35" t="s">
        <v>2</v>
      </c>
      <c r="D1" s="36" t="s">
        <v>3</v>
      </c>
      <c r="E1" s="37" t="s">
        <v>4</v>
      </c>
    </row>
    <row r="2" spans="1:5">
      <c r="A2" s="35" t="s">
        <v>5</v>
      </c>
      <c r="B2" s="35" t="s">
        <v>6</v>
      </c>
      <c r="C2" s="35" t="s">
        <v>7</v>
      </c>
      <c r="D2" s="36" t="s">
        <v>8</v>
      </c>
      <c r="E2" s="37" t="s">
        <v>4</v>
      </c>
    </row>
    <row r="3" spans="1:5">
      <c r="A3" s="35" t="s">
        <v>9</v>
      </c>
      <c r="B3" s="35" t="s">
        <v>10</v>
      </c>
      <c r="C3" s="35" t="s">
        <v>10</v>
      </c>
      <c r="D3" s="36" t="s">
        <v>10</v>
      </c>
      <c r="E3" s="35" t="s">
        <v>9</v>
      </c>
    </row>
    <row r="4" s="32" customFormat="1" spans="1:5">
      <c r="A4" s="32" t="s">
        <v>0</v>
      </c>
      <c r="B4" s="32" t="s">
        <v>11</v>
      </c>
      <c r="C4" s="32" t="s">
        <v>12</v>
      </c>
      <c r="D4" s="38" t="s">
        <v>13</v>
      </c>
      <c r="E4" s="32" t="s">
        <v>14</v>
      </c>
    </row>
    <row r="5" s="7" customFormat="1" ht="25" customHeight="1" spans="1:5">
      <c r="A5" s="2">
        <v>10001001</v>
      </c>
      <c r="B5" s="13" t="s">
        <v>15</v>
      </c>
      <c r="C5" s="2">
        <v>5</v>
      </c>
      <c r="D5" s="14" t="s">
        <v>16</v>
      </c>
      <c r="E5" s="2">
        <v>10001</v>
      </c>
    </row>
    <row r="6" s="7" customFormat="1" ht="25" customHeight="1" spans="1:5">
      <c r="A6" s="2">
        <v>10001002</v>
      </c>
      <c r="B6" s="13" t="s">
        <v>15</v>
      </c>
      <c r="C6" s="2">
        <v>30</v>
      </c>
      <c r="D6" s="14" t="s">
        <v>17</v>
      </c>
      <c r="E6" s="2">
        <v>10001</v>
      </c>
    </row>
    <row r="7" s="7" customFormat="1" ht="25" customHeight="1" spans="1:5">
      <c r="A7" s="2">
        <v>10001003</v>
      </c>
      <c r="B7" s="13" t="s">
        <v>18</v>
      </c>
      <c r="C7" s="7" t="s">
        <v>19</v>
      </c>
      <c r="D7" s="14" t="s">
        <v>20</v>
      </c>
      <c r="E7" s="2">
        <v>10001</v>
      </c>
    </row>
    <row r="8" s="8" customFormat="1" ht="25" customHeight="1" spans="1:5">
      <c r="A8" s="3">
        <v>10001005</v>
      </c>
      <c r="B8" s="15" t="s">
        <v>18</v>
      </c>
      <c r="C8" s="3" t="s">
        <v>21</v>
      </c>
      <c r="D8" s="16" t="s">
        <v>22</v>
      </c>
      <c r="E8" s="3">
        <v>10001</v>
      </c>
    </row>
    <row r="9" s="8" customFormat="1" ht="25" customHeight="1" spans="1:5">
      <c r="A9" s="3">
        <v>10001006</v>
      </c>
      <c r="B9" s="15" t="s">
        <v>15</v>
      </c>
      <c r="C9" s="3" t="s">
        <v>23</v>
      </c>
      <c r="D9" s="16" t="s">
        <v>24</v>
      </c>
      <c r="E9" s="3">
        <v>10001</v>
      </c>
    </row>
    <row r="10" s="7" customFormat="1" ht="25" customHeight="1" spans="1:5">
      <c r="A10" s="2">
        <v>11001001</v>
      </c>
      <c r="B10" s="13" t="s">
        <v>25</v>
      </c>
      <c r="C10" s="2">
        <v>101201</v>
      </c>
      <c r="D10" s="14" t="s">
        <v>26</v>
      </c>
      <c r="E10" s="2">
        <v>11001</v>
      </c>
    </row>
    <row r="11" s="7" customFormat="1" ht="25" customHeight="1" spans="1:5">
      <c r="A11" s="2">
        <v>11001002</v>
      </c>
      <c r="B11" s="13" t="s">
        <v>25</v>
      </c>
      <c r="C11" s="2" t="s">
        <v>27</v>
      </c>
      <c r="D11" s="14" t="s">
        <v>28</v>
      </c>
      <c r="E11" s="2">
        <v>11001</v>
      </c>
    </row>
    <row r="12" s="7" customFormat="1" ht="25" customHeight="1" spans="1:5">
      <c r="A12" s="2">
        <v>11001003</v>
      </c>
      <c r="B12" s="13" t="s">
        <v>25</v>
      </c>
      <c r="C12" s="2" t="s">
        <v>29</v>
      </c>
      <c r="D12" s="14" t="s">
        <v>30</v>
      </c>
      <c r="E12" s="2">
        <v>11001</v>
      </c>
    </row>
    <row r="13" s="7" customFormat="1" ht="25" customHeight="1" spans="1:5">
      <c r="A13" s="2">
        <v>11001004</v>
      </c>
      <c r="B13" s="13" t="s">
        <v>25</v>
      </c>
      <c r="C13" s="2" t="s">
        <v>31</v>
      </c>
      <c r="D13" s="14" t="s">
        <v>32</v>
      </c>
      <c r="E13" s="2">
        <v>11001</v>
      </c>
    </row>
    <row r="14" s="7" customFormat="1" ht="25" customHeight="1" spans="1:5">
      <c r="A14" s="2">
        <v>11001005</v>
      </c>
      <c r="B14" s="13" t="s">
        <v>25</v>
      </c>
      <c r="C14" s="2" t="s">
        <v>33</v>
      </c>
      <c r="D14" s="14" t="s">
        <v>34</v>
      </c>
      <c r="E14" s="2">
        <v>11001</v>
      </c>
    </row>
    <row r="15" s="8" customFormat="1" ht="25" customHeight="1" spans="1:5">
      <c r="A15" s="3">
        <v>11001006</v>
      </c>
      <c r="B15" s="15" t="s">
        <v>25</v>
      </c>
      <c r="C15" s="3" t="s">
        <v>35</v>
      </c>
      <c r="D15" s="16" t="s">
        <v>22</v>
      </c>
      <c r="E15" s="3">
        <v>11001</v>
      </c>
    </row>
    <row r="16" s="7" customFormat="1" ht="25" customHeight="1" spans="1:5">
      <c r="A16" s="2">
        <v>11001007</v>
      </c>
      <c r="B16" s="13" t="s">
        <v>25</v>
      </c>
      <c r="C16" s="2" t="s">
        <v>36</v>
      </c>
      <c r="D16" s="14" t="s">
        <v>37</v>
      </c>
      <c r="E16" s="2">
        <v>11001</v>
      </c>
    </row>
    <row r="17" s="33" customFormat="1" ht="25" customHeight="1" spans="1:5">
      <c r="A17" s="2">
        <v>12001001</v>
      </c>
      <c r="B17" s="13" t="s">
        <v>38</v>
      </c>
      <c r="C17" s="2" t="s">
        <v>39</v>
      </c>
      <c r="D17" s="14" t="s">
        <v>40</v>
      </c>
      <c r="E17" s="2">
        <v>12001</v>
      </c>
    </row>
    <row r="18" s="8" customFormat="1" ht="25" customHeight="1" spans="1:5">
      <c r="A18" s="2">
        <v>12001002</v>
      </c>
      <c r="B18" s="13" t="s">
        <v>38</v>
      </c>
      <c r="C18" s="2" t="s">
        <v>41</v>
      </c>
      <c r="D18" s="14" t="s">
        <v>42</v>
      </c>
      <c r="E18" s="2">
        <v>12001</v>
      </c>
    </row>
    <row r="19" s="8" customFormat="1" ht="25" customHeight="1" spans="1:5">
      <c r="A19" s="2">
        <v>12001003</v>
      </c>
      <c r="B19" s="13" t="s">
        <v>38</v>
      </c>
      <c r="C19" s="2" t="s">
        <v>43</v>
      </c>
      <c r="D19" s="14" t="s">
        <v>44</v>
      </c>
      <c r="E19" s="2">
        <v>12001</v>
      </c>
    </row>
    <row r="20" s="8" customFormat="1" ht="25" customHeight="1" spans="1:5">
      <c r="A20" s="2">
        <v>14001001</v>
      </c>
      <c r="B20" s="13" t="s">
        <v>45</v>
      </c>
      <c r="C20" s="2">
        <v>2</v>
      </c>
      <c r="D20" s="14" t="s">
        <v>46</v>
      </c>
      <c r="E20" s="2">
        <v>14001</v>
      </c>
    </row>
    <row r="21" s="8" customFormat="1" ht="25" customHeight="1" spans="1:5">
      <c r="A21" s="2">
        <v>14001002</v>
      </c>
      <c r="B21" s="13" t="s">
        <v>45</v>
      </c>
      <c r="C21" s="2">
        <v>2000</v>
      </c>
      <c r="D21" s="14" t="s">
        <v>47</v>
      </c>
      <c r="E21" s="2">
        <v>14001</v>
      </c>
    </row>
    <row r="22" s="33" customFormat="1" ht="25" customHeight="1" spans="1:5">
      <c r="A22" s="2">
        <v>14001003</v>
      </c>
      <c r="B22" s="13" t="s">
        <v>45</v>
      </c>
      <c r="C22" s="2" t="s">
        <v>48</v>
      </c>
      <c r="D22" s="14" t="s">
        <v>49</v>
      </c>
      <c r="E22" s="2">
        <v>14001</v>
      </c>
    </row>
    <row r="23" s="8" customFormat="1" ht="25" customHeight="1" spans="1:5">
      <c r="A23" s="2">
        <v>14001004</v>
      </c>
      <c r="B23" s="13" t="s">
        <v>50</v>
      </c>
      <c r="C23" s="2" t="s">
        <v>51</v>
      </c>
      <c r="D23" s="13" t="s">
        <v>52</v>
      </c>
      <c r="E23" s="2">
        <v>14001</v>
      </c>
    </row>
    <row r="24" s="8" customFormat="1" ht="25" customHeight="1" spans="1:5">
      <c r="A24" s="2">
        <v>15001001</v>
      </c>
      <c r="B24" s="2" t="s">
        <v>53</v>
      </c>
      <c r="C24" s="2">
        <v>15001</v>
      </c>
      <c r="D24" s="2" t="s">
        <v>54</v>
      </c>
      <c r="E24" s="2">
        <v>15001</v>
      </c>
    </row>
    <row r="25" s="8" customFormat="1" ht="25" customHeight="1" spans="1:5">
      <c r="A25" s="2">
        <v>15001002</v>
      </c>
      <c r="B25" s="2" t="s">
        <v>53</v>
      </c>
      <c r="C25" s="2">
        <v>100000</v>
      </c>
      <c r="D25" s="2" t="s">
        <v>55</v>
      </c>
      <c r="E25" s="2">
        <v>15001</v>
      </c>
    </row>
    <row r="26" s="33" customFormat="1" ht="25" customHeight="1" spans="1:5">
      <c r="A26" s="4">
        <v>16001001</v>
      </c>
      <c r="B26" s="17" t="s">
        <v>56</v>
      </c>
      <c r="C26" s="4" t="s">
        <v>57</v>
      </c>
      <c r="D26" s="18" t="s">
        <v>58</v>
      </c>
      <c r="E26" s="4">
        <v>16001</v>
      </c>
    </row>
    <row r="27" s="8" customFormat="1" ht="25" customHeight="1" spans="1:5">
      <c r="A27" s="3">
        <v>16001002</v>
      </c>
      <c r="B27" s="15" t="s">
        <v>56</v>
      </c>
      <c r="C27" s="3">
        <v>1</v>
      </c>
      <c r="D27" s="16" t="s">
        <v>59</v>
      </c>
      <c r="E27" s="3">
        <v>16001</v>
      </c>
    </row>
    <row r="28" s="8" customFormat="1" ht="25" customHeight="1" spans="1:5">
      <c r="A28" s="3">
        <v>16001003</v>
      </c>
      <c r="B28" s="15" t="s">
        <v>56</v>
      </c>
      <c r="C28" s="3" t="s">
        <v>60</v>
      </c>
      <c r="D28" s="16" t="s">
        <v>61</v>
      </c>
      <c r="E28" s="3">
        <v>16001</v>
      </c>
    </row>
    <row r="29" s="8" customFormat="1" ht="25" customHeight="1" spans="1:5">
      <c r="A29" s="3">
        <v>16001004</v>
      </c>
      <c r="B29" s="15" t="s">
        <v>56</v>
      </c>
      <c r="C29" s="3" t="s">
        <v>62</v>
      </c>
      <c r="D29" s="16" t="s">
        <v>63</v>
      </c>
      <c r="E29" s="3">
        <v>16001</v>
      </c>
    </row>
    <row r="30" s="8" customFormat="1" ht="25" customHeight="1" spans="1:5">
      <c r="A30" s="3">
        <v>16001005</v>
      </c>
      <c r="B30" s="15" t="s">
        <v>56</v>
      </c>
      <c r="C30" s="3" t="s">
        <v>64</v>
      </c>
      <c r="D30" s="16" t="s">
        <v>65</v>
      </c>
      <c r="E30" s="3">
        <v>16001</v>
      </c>
    </row>
    <row r="31" s="8" customFormat="1" ht="25" customHeight="1" spans="1:5">
      <c r="A31" s="4">
        <v>16001006</v>
      </c>
      <c r="B31" s="17" t="s">
        <v>56</v>
      </c>
      <c r="C31" s="4">
        <v>100</v>
      </c>
      <c r="D31" s="18" t="s">
        <v>66</v>
      </c>
      <c r="E31" s="4">
        <v>16001</v>
      </c>
    </row>
    <row r="32" s="8" customFormat="1" ht="25" customHeight="1" spans="1:5">
      <c r="A32" s="3">
        <v>16001007</v>
      </c>
      <c r="B32" s="15" t="s">
        <v>56</v>
      </c>
      <c r="C32" s="3" t="s">
        <v>67</v>
      </c>
      <c r="D32" s="16" t="s">
        <v>68</v>
      </c>
      <c r="E32" s="3">
        <v>16001</v>
      </c>
    </row>
    <row r="33" s="8" customFormat="1" ht="25" customHeight="1" spans="1:5">
      <c r="A33" s="3">
        <v>16001008</v>
      </c>
      <c r="B33" s="15" t="s">
        <v>56</v>
      </c>
      <c r="C33" s="3" t="s">
        <v>69</v>
      </c>
      <c r="D33" s="16" t="s">
        <v>70</v>
      </c>
      <c r="E33" s="3">
        <v>16001</v>
      </c>
    </row>
    <row r="34" s="34" customFormat="1" spans="1:5">
      <c r="A34" s="3">
        <v>16001009</v>
      </c>
      <c r="B34" s="15" t="s">
        <v>56</v>
      </c>
      <c r="C34" s="3" t="s">
        <v>71</v>
      </c>
      <c r="D34" s="16" t="s">
        <v>72</v>
      </c>
      <c r="E34" s="3">
        <v>16001</v>
      </c>
    </row>
    <row r="35" s="34" customFormat="1" spans="1:5">
      <c r="A35" s="4">
        <v>16001010</v>
      </c>
      <c r="B35" s="17" t="s">
        <v>56</v>
      </c>
      <c r="C35" s="4" t="s">
        <v>73</v>
      </c>
      <c r="D35" s="18" t="s">
        <v>74</v>
      </c>
      <c r="E35" s="4">
        <v>16001</v>
      </c>
    </row>
    <row r="36" s="8" customFormat="1" ht="25" customHeight="1" spans="1:5">
      <c r="A36" s="3">
        <v>16001011</v>
      </c>
      <c r="B36" s="15" t="s">
        <v>56</v>
      </c>
      <c r="C36" s="3" t="s">
        <v>75</v>
      </c>
      <c r="D36" s="16" t="s">
        <v>76</v>
      </c>
      <c r="E36" s="3">
        <v>16001</v>
      </c>
    </row>
    <row r="37" s="8" customFormat="1" ht="25" customHeight="1" spans="1:5">
      <c r="A37" s="3">
        <v>16001012</v>
      </c>
      <c r="B37" s="15" t="s">
        <v>56</v>
      </c>
      <c r="C37" s="3">
        <v>30</v>
      </c>
      <c r="D37" s="16" t="s">
        <v>77</v>
      </c>
      <c r="E37" s="3">
        <v>16001</v>
      </c>
    </row>
    <row r="38" s="8" customFormat="1" ht="25" customHeight="1" spans="1:5">
      <c r="A38" s="3">
        <v>16001013</v>
      </c>
      <c r="B38" s="15" t="s">
        <v>56</v>
      </c>
      <c r="C38" s="3" t="s">
        <v>78</v>
      </c>
      <c r="D38" s="16" t="s">
        <v>79</v>
      </c>
      <c r="E38" s="3">
        <v>16001</v>
      </c>
    </row>
    <row r="39" s="8" customFormat="1" ht="25" customHeight="1" spans="1:5">
      <c r="A39" s="3">
        <v>16001014</v>
      </c>
      <c r="B39" s="15" t="s">
        <v>56</v>
      </c>
      <c r="C39" s="3" t="s">
        <v>80</v>
      </c>
      <c r="D39" s="16" t="s">
        <v>81</v>
      </c>
      <c r="E39" s="3">
        <v>16001</v>
      </c>
    </row>
    <row r="40" s="8" customFormat="1" ht="25" customHeight="1" spans="1:5">
      <c r="A40" s="3">
        <v>16001015</v>
      </c>
      <c r="B40" s="15" t="s">
        <v>56</v>
      </c>
      <c r="C40" s="3" t="s">
        <v>82</v>
      </c>
      <c r="D40" s="16" t="s">
        <v>83</v>
      </c>
      <c r="E40" s="3">
        <v>16001</v>
      </c>
    </row>
    <row r="41" s="8" customFormat="1" ht="25" customHeight="1" spans="1:5">
      <c r="A41" s="3">
        <v>16001016</v>
      </c>
      <c r="B41" s="15" t="s">
        <v>56</v>
      </c>
      <c r="C41" s="3"/>
      <c r="D41" s="16" t="s">
        <v>84</v>
      </c>
      <c r="E41" s="3">
        <v>16001</v>
      </c>
    </row>
    <row r="42" s="8" customFormat="1" ht="25" customHeight="1" spans="1:5">
      <c r="A42" s="3">
        <v>16001017</v>
      </c>
      <c r="B42" s="15" t="s">
        <v>56</v>
      </c>
      <c r="C42" s="3"/>
      <c r="D42" s="16" t="s">
        <v>85</v>
      </c>
      <c r="E42" s="3">
        <v>16001</v>
      </c>
    </row>
    <row r="43" s="28" customFormat="1" ht="27" spans="1:5">
      <c r="A43" s="4">
        <v>16001018</v>
      </c>
      <c r="B43" s="17" t="s">
        <v>56</v>
      </c>
      <c r="C43" s="5" t="s">
        <v>86</v>
      </c>
      <c r="D43" s="19" t="s">
        <v>87</v>
      </c>
      <c r="E43" s="4">
        <v>16001</v>
      </c>
    </row>
    <row r="44" s="28" customFormat="1" ht="27" spans="1:5">
      <c r="A44" s="4">
        <v>16001019</v>
      </c>
      <c r="B44" s="17" t="s">
        <v>56</v>
      </c>
      <c r="C44" s="5" t="s">
        <v>88</v>
      </c>
      <c r="D44" s="19" t="s">
        <v>89</v>
      </c>
      <c r="E44" s="4">
        <v>16001</v>
      </c>
    </row>
    <row r="45" s="28" customFormat="1" spans="1:5">
      <c r="A45" s="3">
        <v>16001020</v>
      </c>
      <c r="B45" s="15" t="s">
        <v>56</v>
      </c>
      <c r="C45" s="3">
        <v>300</v>
      </c>
      <c r="D45" s="16" t="s">
        <v>90</v>
      </c>
      <c r="E45" s="3">
        <v>16001</v>
      </c>
    </row>
    <row r="46" s="28" customFormat="1" spans="1:5">
      <c r="A46" s="3">
        <v>16001021</v>
      </c>
      <c r="B46" s="15" t="s">
        <v>56</v>
      </c>
      <c r="C46" s="3" t="s">
        <v>91</v>
      </c>
      <c r="D46" s="16" t="s">
        <v>92</v>
      </c>
      <c r="E46" s="3">
        <v>16001</v>
      </c>
    </row>
    <row r="47" s="28" customFormat="1" spans="1:5">
      <c r="A47" s="3">
        <v>16001022</v>
      </c>
      <c r="B47" s="15" t="s">
        <v>56</v>
      </c>
      <c r="C47" s="3">
        <v>1</v>
      </c>
      <c r="D47" s="16" t="s">
        <v>93</v>
      </c>
      <c r="E47" s="3">
        <v>16001</v>
      </c>
    </row>
    <row r="48" s="28" customFormat="1" spans="1:5">
      <c r="A48" s="3">
        <v>16001023</v>
      </c>
      <c r="B48" s="15" t="s">
        <v>56</v>
      </c>
      <c r="C48" s="3">
        <v>10</v>
      </c>
      <c r="D48" s="16" t="s">
        <v>94</v>
      </c>
      <c r="E48" s="3">
        <v>16001</v>
      </c>
    </row>
    <row r="49" s="9" customFormat="1" spans="1:5">
      <c r="A49" s="3">
        <v>16001024</v>
      </c>
      <c r="B49" s="15" t="s">
        <v>56</v>
      </c>
      <c r="C49" s="3">
        <v>6000</v>
      </c>
      <c r="D49" s="16" t="s">
        <v>95</v>
      </c>
      <c r="E49" s="3">
        <v>16001</v>
      </c>
    </row>
    <row r="50" s="9" customFormat="1" spans="1:5">
      <c r="A50" s="3">
        <v>16001025</v>
      </c>
      <c r="B50" s="15" t="s">
        <v>56</v>
      </c>
      <c r="C50" s="3">
        <v>60</v>
      </c>
      <c r="D50" s="16" t="s">
        <v>96</v>
      </c>
      <c r="E50" s="3">
        <v>16001</v>
      </c>
    </row>
    <row r="51" s="9" customFormat="1" spans="1:5">
      <c r="A51" s="3">
        <v>16001026</v>
      </c>
      <c r="B51" s="15" t="s">
        <v>56</v>
      </c>
      <c r="C51" s="3">
        <v>1</v>
      </c>
      <c r="D51" s="16" t="s">
        <v>97</v>
      </c>
      <c r="E51" s="3">
        <v>16001</v>
      </c>
    </row>
    <row r="52" s="2" customFormat="1" ht="25" customHeight="1" spans="1:5">
      <c r="A52" s="2">
        <v>17001001</v>
      </c>
      <c r="B52" s="13" t="s">
        <v>98</v>
      </c>
      <c r="C52" s="2" t="s">
        <v>99</v>
      </c>
      <c r="D52" s="14" t="s">
        <v>100</v>
      </c>
      <c r="E52" s="2">
        <v>17001</v>
      </c>
    </row>
    <row r="53" s="2" customFormat="1" ht="25" customHeight="1" spans="1:5">
      <c r="A53" s="2">
        <v>18001001</v>
      </c>
      <c r="B53" s="13" t="s">
        <v>101</v>
      </c>
      <c r="C53" s="2">
        <v>1</v>
      </c>
      <c r="D53" s="14" t="s">
        <v>102</v>
      </c>
      <c r="E53" s="2">
        <v>18001</v>
      </c>
    </row>
    <row r="54" s="2" customFormat="1" spans="1:5">
      <c r="A54" s="2">
        <v>18001002</v>
      </c>
      <c r="B54" s="13" t="s">
        <v>101</v>
      </c>
      <c r="C54" s="2">
        <v>2</v>
      </c>
      <c r="D54" s="14" t="s">
        <v>103</v>
      </c>
      <c r="E54" s="2">
        <v>18001</v>
      </c>
    </row>
    <row r="55" s="2" customFormat="1" ht="25" customHeight="1" spans="1:5">
      <c r="A55" s="2">
        <v>18001003</v>
      </c>
      <c r="B55" s="13" t="s">
        <v>101</v>
      </c>
      <c r="C55" s="2">
        <v>1</v>
      </c>
      <c r="D55" s="20" t="s">
        <v>104</v>
      </c>
      <c r="E55" s="2">
        <v>18001</v>
      </c>
    </row>
    <row r="56" s="2" customFormat="1" ht="25" customHeight="1" spans="1:5">
      <c r="A56" s="2">
        <v>19001001</v>
      </c>
      <c r="B56" s="13" t="s">
        <v>105</v>
      </c>
      <c r="C56" s="2">
        <v>50010011</v>
      </c>
      <c r="D56" s="14" t="s">
        <v>106</v>
      </c>
      <c r="E56" s="2">
        <v>19001</v>
      </c>
    </row>
    <row r="57" s="2" customFormat="1" ht="25" customHeight="1" spans="1:5">
      <c r="A57" s="2">
        <v>19001002</v>
      </c>
      <c r="B57" s="13" t="s">
        <v>105</v>
      </c>
      <c r="C57" s="2">
        <v>10</v>
      </c>
      <c r="D57" s="14" t="s">
        <v>107</v>
      </c>
      <c r="E57" s="2">
        <v>19001</v>
      </c>
    </row>
    <row r="58" spans="1:5">
      <c r="A58" s="2">
        <v>19001003</v>
      </c>
      <c r="B58" s="13" t="s">
        <v>105</v>
      </c>
      <c r="C58" s="2" t="s">
        <v>108</v>
      </c>
      <c r="D58" s="14" t="s">
        <v>109</v>
      </c>
      <c r="E58" s="2">
        <v>19001</v>
      </c>
    </row>
    <row r="59" spans="1:5">
      <c r="A59" s="2">
        <v>19001004</v>
      </c>
      <c r="B59" s="13" t="s">
        <v>105</v>
      </c>
      <c r="C59" s="2">
        <v>10</v>
      </c>
      <c r="D59" s="14" t="s">
        <v>110</v>
      </c>
      <c r="E59" s="2">
        <v>19001</v>
      </c>
    </row>
    <row r="60" spans="1:5">
      <c r="A60" s="2">
        <v>19001005</v>
      </c>
      <c r="B60" s="13" t="s">
        <v>105</v>
      </c>
      <c r="C60" s="2" t="s">
        <v>111</v>
      </c>
      <c r="D60" s="14" t="s">
        <v>112</v>
      </c>
      <c r="E60" s="2">
        <v>19001</v>
      </c>
    </row>
    <row r="61" spans="1:5">
      <c r="A61" s="2">
        <v>19001006</v>
      </c>
      <c r="B61" s="13" t="s">
        <v>105</v>
      </c>
      <c r="C61" s="2" t="s">
        <v>113</v>
      </c>
      <c r="D61" s="14" t="s">
        <v>114</v>
      </c>
      <c r="E61" s="2">
        <v>19001</v>
      </c>
    </row>
    <row r="62" spans="1:5">
      <c r="A62" s="6">
        <v>21001001</v>
      </c>
      <c r="B62" s="21" t="s">
        <v>115</v>
      </c>
      <c r="C62" s="6" t="s">
        <v>116</v>
      </c>
      <c r="D62" s="22" t="s">
        <v>117</v>
      </c>
      <c r="E62" s="6">
        <v>21001</v>
      </c>
    </row>
    <row r="63" spans="1:5">
      <c r="A63" s="6">
        <v>21001002</v>
      </c>
      <c r="B63" s="21" t="s">
        <v>115</v>
      </c>
      <c r="C63" s="6">
        <v>2000</v>
      </c>
      <c r="D63" s="22" t="s">
        <v>118</v>
      </c>
      <c r="E63" s="6">
        <v>21001</v>
      </c>
    </row>
    <row r="64" ht="30" spans="1:5">
      <c r="A64" s="6">
        <v>21001003</v>
      </c>
      <c r="B64" s="21" t="s">
        <v>115</v>
      </c>
      <c r="C64" s="6" t="s">
        <v>119</v>
      </c>
      <c r="D64" s="22" t="s">
        <v>120</v>
      </c>
      <c r="E64" s="6">
        <v>21001</v>
      </c>
    </row>
    <row r="65" spans="1:5">
      <c r="A65" s="6">
        <v>21001004</v>
      </c>
      <c r="B65" s="21" t="s">
        <v>115</v>
      </c>
      <c r="C65" s="6">
        <v>2000</v>
      </c>
      <c r="D65" s="22" t="s">
        <v>121</v>
      </c>
      <c r="E65" s="6">
        <v>21001</v>
      </c>
    </row>
    <row r="66" spans="1:5">
      <c r="A66" s="6">
        <v>21001005</v>
      </c>
      <c r="B66" s="21" t="s">
        <v>115</v>
      </c>
      <c r="C66" s="6">
        <v>21600006</v>
      </c>
      <c r="D66" s="22" t="s">
        <v>122</v>
      </c>
      <c r="E66" s="6">
        <v>21001</v>
      </c>
    </row>
    <row r="67" spans="1:5">
      <c r="A67" s="6">
        <v>21001006</v>
      </c>
      <c r="B67" s="21" t="s">
        <v>115</v>
      </c>
      <c r="C67" s="6" t="s">
        <v>123</v>
      </c>
      <c r="D67" s="22" t="s">
        <v>124</v>
      </c>
      <c r="E67" s="6">
        <v>21001</v>
      </c>
    </row>
    <row r="68" spans="1:5">
      <c r="A68" s="6">
        <v>21001007</v>
      </c>
      <c r="B68" s="21" t="s">
        <v>115</v>
      </c>
      <c r="C68" s="23">
        <v>3</v>
      </c>
      <c r="D68" s="20" t="s">
        <v>125</v>
      </c>
      <c r="E68" s="6">
        <v>21001</v>
      </c>
    </row>
    <row r="69" spans="1:5">
      <c r="A69" s="6">
        <v>21001008</v>
      </c>
      <c r="B69" s="21" t="s">
        <v>115</v>
      </c>
      <c r="C69" s="11" t="s">
        <v>126</v>
      </c>
      <c r="D69" s="20" t="s">
        <v>127</v>
      </c>
      <c r="E69" s="6">
        <v>21001</v>
      </c>
    </row>
    <row r="70" spans="1:5">
      <c r="A70" s="28" t="s">
        <v>128</v>
      </c>
      <c r="B70" s="29" t="s">
        <v>129</v>
      </c>
      <c r="C70" s="30">
        <v>10</v>
      </c>
      <c r="D70" s="31" t="s">
        <v>130</v>
      </c>
      <c r="E70" s="28" t="s">
        <v>131</v>
      </c>
    </row>
    <row r="71" s="23" customFormat="1" spans="1:5">
      <c r="A71" s="23">
        <v>27000001</v>
      </c>
      <c r="B71" s="39" t="s">
        <v>132</v>
      </c>
      <c r="C71" s="23">
        <v>10</v>
      </c>
      <c r="D71" s="40" t="s">
        <v>133</v>
      </c>
      <c r="E71" s="41">
        <v>20001</v>
      </c>
    </row>
  </sheetData>
  <conditionalFormatting sqref="A$1:A$1048576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0" tint="-0.15"/>
  </sheetPr>
  <dimension ref="A1:E75"/>
  <sheetViews>
    <sheetView zoomScale="85" zoomScaleNormal="85" workbookViewId="0">
      <pane ySplit="4" topLeftCell="A30" activePane="bottomLeft" state="frozen"/>
      <selection/>
      <selection pane="bottomLeft" activeCell="C39" sqref="C39"/>
    </sheetView>
  </sheetViews>
  <sheetFormatPr defaultColWidth="9" defaultRowHeight="15" outlineLevelCol="4"/>
  <cols>
    <col min="1" max="2" width="35.7142857142857" customWidth="1"/>
    <col min="3" max="3" width="63.1428571428571" customWidth="1"/>
    <col min="4" max="4" width="93" style="10" customWidth="1"/>
    <col min="5" max="5" width="35.7142857142857" customWidth="1"/>
  </cols>
  <sheetData>
    <row r="1" spans="1:5">
      <c r="A1" t="s">
        <v>0</v>
      </c>
      <c r="B1" t="s">
        <v>1</v>
      </c>
      <c r="C1" t="s">
        <v>2</v>
      </c>
      <c r="D1" s="10" t="s">
        <v>3</v>
      </c>
      <c r="E1" s="11" t="s">
        <v>4</v>
      </c>
    </row>
    <row r="2" spans="1:5">
      <c r="A2" t="s">
        <v>5</v>
      </c>
      <c r="B2" t="s">
        <v>6</v>
      </c>
      <c r="C2" t="s">
        <v>7</v>
      </c>
      <c r="D2" s="10" t="s">
        <v>8</v>
      </c>
      <c r="E2" s="11" t="s">
        <v>4</v>
      </c>
    </row>
    <row r="3" spans="1:5">
      <c r="A3" t="s">
        <v>9</v>
      </c>
      <c r="B3" t="s">
        <v>10</v>
      </c>
      <c r="C3" t="s">
        <v>10</v>
      </c>
      <c r="D3" s="10" t="s">
        <v>10</v>
      </c>
      <c r="E3" t="s">
        <v>9</v>
      </c>
    </row>
    <row r="4" s="1" customFormat="1" spans="1:5">
      <c r="A4" s="1" t="s">
        <v>0</v>
      </c>
      <c r="B4" s="1" t="s">
        <v>11</v>
      </c>
      <c r="C4" s="1" t="s">
        <v>12</v>
      </c>
      <c r="D4" s="12" t="s">
        <v>13</v>
      </c>
      <c r="E4" s="1" t="s">
        <v>14</v>
      </c>
    </row>
    <row r="5" s="2" customFormat="1" ht="25" customHeight="1" spans="1:5">
      <c r="A5" s="2">
        <v>10001001</v>
      </c>
      <c r="B5" s="13" t="s">
        <v>15</v>
      </c>
      <c r="C5" s="2">
        <v>5</v>
      </c>
      <c r="D5" s="14" t="s">
        <v>16</v>
      </c>
      <c r="E5" s="2">
        <v>10001</v>
      </c>
    </row>
    <row r="6" s="2" customFormat="1" ht="25" customHeight="1" spans="1:5">
      <c r="A6" s="2">
        <v>10001002</v>
      </c>
      <c r="B6" s="13" t="s">
        <v>15</v>
      </c>
      <c r="C6" s="2">
        <v>30</v>
      </c>
      <c r="D6" s="14" t="s">
        <v>17</v>
      </c>
      <c r="E6" s="2">
        <v>10001</v>
      </c>
    </row>
    <row r="7" s="2" customFormat="1" ht="25" customHeight="1" spans="1:5">
      <c r="A7" s="2">
        <v>10001003</v>
      </c>
      <c r="B7" s="13" t="s">
        <v>18</v>
      </c>
      <c r="C7" s="2" t="s">
        <v>134</v>
      </c>
      <c r="D7" s="14" t="s">
        <v>20</v>
      </c>
      <c r="E7" s="2">
        <v>10001</v>
      </c>
    </row>
    <row r="8" s="3" customFormat="1" ht="25" customHeight="1" spans="1:5">
      <c r="A8" s="3">
        <v>10001005</v>
      </c>
      <c r="B8" s="15" t="s">
        <v>18</v>
      </c>
      <c r="C8" s="3" t="s">
        <v>21</v>
      </c>
      <c r="D8" s="16" t="s">
        <v>22</v>
      </c>
      <c r="E8" s="3">
        <v>10001</v>
      </c>
    </row>
    <row r="9" s="3" customFormat="1" ht="25" customHeight="1" spans="1:5">
      <c r="A9" s="3">
        <v>10001006</v>
      </c>
      <c r="B9" s="15" t="s">
        <v>15</v>
      </c>
      <c r="C9" s="3" t="s">
        <v>23</v>
      </c>
      <c r="D9" s="16" t="s">
        <v>24</v>
      </c>
      <c r="E9" s="3">
        <v>10001</v>
      </c>
    </row>
    <row r="10" s="2" customFormat="1" ht="25" customHeight="1" spans="1:5">
      <c r="A10" s="2">
        <v>11001001</v>
      </c>
      <c r="B10" s="13" t="s">
        <v>25</v>
      </c>
      <c r="C10" s="2">
        <v>101201</v>
      </c>
      <c r="D10" s="14" t="s">
        <v>26</v>
      </c>
      <c r="E10" s="2">
        <v>11001</v>
      </c>
    </row>
    <row r="11" s="2" customFormat="1" ht="25" customHeight="1" spans="1:5">
      <c r="A11" s="2">
        <v>11001002</v>
      </c>
      <c r="B11" s="13" t="s">
        <v>25</v>
      </c>
      <c r="C11" s="2" t="s">
        <v>27</v>
      </c>
      <c r="D11" s="14" t="s">
        <v>28</v>
      </c>
      <c r="E11" s="2">
        <v>11001</v>
      </c>
    </row>
    <row r="12" s="2" customFormat="1" ht="25" customHeight="1" spans="1:5">
      <c r="A12" s="2">
        <v>11001003</v>
      </c>
      <c r="B12" s="13" t="s">
        <v>25</v>
      </c>
      <c r="C12" s="2" t="s">
        <v>29</v>
      </c>
      <c r="D12" s="14" t="s">
        <v>30</v>
      </c>
      <c r="E12" s="2">
        <v>11001</v>
      </c>
    </row>
    <row r="13" s="2" customFormat="1" ht="25" customHeight="1" spans="1:5">
      <c r="A13" s="2">
        <v>11001004</v>
      </c>
      <c r="B13" s="13" t="s">
        <v>25</v>
      </c>
      <c r="C13" s="2" t="s">
        <v>31</v>
      </c>
      <c r="D13" s="14" t="s">
        <v>32</v>
      </c>
      <c r="E13" s="2">
        <v>11001</v>
      </c>
    </row>
    <row r="14" s="2" customFormat="1" ht="25" customHeight="1" spans="1:5">
      <c r="A14" s="2">
        <v>11001005</v>
      </c>
      <c r="B14" s="13" t="s">
        <v>25</v>
      </c>
      <c r="C14" s="2" t="s">
        <v>33</v>
      </c>
      <c r="D14" s="14" t="s">
        <v>34</v>
      </c>
      <c r="E14" s="2">
        <v>11001</v>
      </c>
    </row>
    <row r="15" s="3" customFormat="1" ht="25" customHeight="1" spans="1:5">
      <c r="A15" s="3">
        <v>11001006</v>
      </c>
      <c r="B15" s="15" t="s">
        <v>25</v>
      </c>
      <c r="C15" s="3" t="s">
        <v>35</v>
      </c>
      <c r="D15" s="16" t="s">
        <v>22</v>
      </c>
      <c r="E15" s="3">
        <v>11001</v>
      </c>
    </row>
    <row r="16" s="2" customFormat="1" ht="25" customHeight="1" spans="1:5">
      <c r="A16" s="2">
        <v>11001007</v>
      </c>
      <c r="B16" s="13" t="s">
        <v>25</v>
      </c>
      <c r="C16" s="2" t="s">
        <v>36</v>
      </c>
      <c r="D16" s="14" t="s">
        <v>37</v>
      </c>
      <c r="E16" s="2">
        <v>11001</v>
      </c>
    </row>
    <row r="17" s="2" customFormat="1" ht="25" customHeight="1" spans="1:5">
      <c r="A17" s="2">
        <v>12001001</v>
      </c>
      <c r="B17" s="13" t="s">
        <v>38</v>
      </c>
      <c r="C17" s="2" t="s">
        <v>39</v>
      </c>
      <c r="D17" s="14" t="s">
        <v>40</v>
      </c>
      <c r="E17" s="2">
        <v>12001</v>
      </c>
    </row>
    <row r="18" s="2" customFormat="1" ht="25" customHeight="1" spans="1:5">
      <c r="A18" s="2">
        <v>12001002</v>
      </c>
      <c r="B18" s="13" t="s">
        <v>38</v>
      </c>
      <c r="C18" s="2" t="s">
        <v>41</v>
      </c>
      <c r="D18" s="14" t="s">
        <v>42</v>
      </c>
      <c r="E18" s="2">
        <v>12001</v>
      </c>
    </row>
    <row r="19" s="2" customFormat="1" ht="25" customHeight="1" spans="1:5">
      <c r="A19" s="2">
        <v>12001003</v>
      </c>
      <c r="B19" s="13" t="s">
        <v>38</v>
      </c>
      <c r="C19" s="2" t="s">
        <v>43</v>
      </c>
      <c r="D19" s="14" t="s">
        <v>44</v>
      </c>
      <c r="E19" s="2">
        <v>12001</v>
      </c>
    </row>
    <row r="20" s="2" customFormat="1" ht="25" customHeight="1" spans="1:5">
      <c r="A20" s="2">
        <v>14001001</v>
      </c>
      <c r="B20" s="13" t="s">
        <v>45</v>
      </c>
      <c r="C20" s="2">
        <v>2</v>
      </c>
      <c r="D20" s="14" t="s">
        <v>46</v>
      </c>
      <c r="E20" s="2">
        <v>14001</v>
      </c>
    </row>
    <row r="21" s="2" customFormat="1" ht="25" customHeight="1" spans="1:5">
      <c r="A21" s="2">
        <v>14001002</v>
      </c>
      <c r="B21" s="13" t="s">
        <v>45</v>
      </c>
      <c r="C21" s="2">
        <v>2000</v>
      </c>
      <c r="D21" s="14" t="s">
        <v>47</v>
      </c>
      <c r="E21" s="2">
        <v>14001</v>
      </c>
    </row>
    <row r="22" s="2" customFormat="1" spans="1:5">
      <c r="A22" s="2">
        <v>14001003</v>
      </c>
      <c r="B22" s="13" t="s">
        <v>45</v>
      </c>
      <c r="C22" s="2" t="s">
        <v>48</v>
      </c>
      <c r="D22" s="14" t="s">
        <v>49</v>
      </c>
      <c r="E22" s="2">
        <v>14001</v>
      </c>
    </row>
    <row r="23" s="2" customFormat="1" ht="25" customHeight="1" spans="1:5">
      <c r="A23" s="2">
        <v>14001004</v>
      </c>
      <c r="B23" s="13" t="s">
        <v>50</v>
      </c>
      <c r="C23" s="2" t="s">
        <v>51</v>
      </c>
      <c r="D23" s="13" t="s">
        <v>52</v>
      </c>
      <c r="E23" s="2">
        <v>14001</v>
      </c>
    </row>
    <row r="24" s="2" customFormat="1" ht="25" customHeight="1" spans="1:5">
      <c r="A24" s="2">
        <v>15001001</v>
      </c>
      <c r="B24" s="2" t="s">
        <v>53</v>
      </c>
      <c r="C24" s="2">
        <v>15001</v>
      </c>
      <c r="D24" s="2" t="s">
        <v>54</v>
      </c>
      <c r="E24" s="2">
        <v>15001</v>
      </c>
    </row>
    <row r="25" s="2" customFormat="1" ht="25" customHeight="1" spans="1:5">
      <c r="A25" s="2">
        <v>15001002</v>
      </c>
      <c r="B25" s="2" t="s">
        <v>53</v>
      </c>
      <c r="C25" s="2">
        <v>100000</v>
      </c>
      <c r="D25" s="2" t="s">
        <v>55</v>
      </c>
      <c r="E25" s="2">
        <v>15001</v>
      </c>
    </row>
    <row r="26" s="4" customFormat="1" ht="25" customHeight="1" spans="1:5">
      <c r="A26" s="4">
        <v>16001001</v>
      </c>
      <c r="B26" s="17" t="s">
        <v>56</v>
      </c>
      <c r="C26" s="4" t="s">
        <v>57</v>
      </c>
      <c r="D26" s="18" t="s">
        <v>58</v>
      </c>
      <c r="E26" s="4">
        <v>16001</v>
      </c>
    </row>
    <row r="27" s="3" customFormat="1" ht="25" customHeight="1" spans="1:5">
      <c r="A27" s="3">
        <v>16001002</v>
      </c>
      <c r="B27" s="15" t="s">
        <v>56</v>
      </c>
      <c r="C27" s="3">
        <v>1</v>
      </c>
      <c r="D27" s="16" t="s">
        <v>59</v>
      </c>
      <c r="E27" s="3">
        <v>16001</v>
      </c>
    </row>
    <row r="28" s="3" customFormat="1" ht="25" customHeight="1" spans="1:5">
      <c r="A28" s="3">
        <v>16001003</v>
      </c>
      <c r="B28" s="15" t="s">
        <v>56</v>
      </c>
      <c r="C28" s="3" t="s">
        <v>60</v>
      </c>
      <c r="D28" s="16" t="s">
        <v>61</v>
      </c>
      <c r="E28" s="3">
        <v>16001</v>
      </c>
    </row>
    <row r="29" s="3" customFormat="1" ht="25" customHeight="1" spans="1:5">
      <c r="A29" s="3">
        <v>16001004</v>
      </c>
      <c r="B29" s="15" t="s">
        <v>56</v>
      </c>
      <c r="C29" s="3" t="s">
        <v>62</v>
      </c>
      <c r="D29" s="16" t="s">
        <v>63</v>
      </c>
      <c r="E29" s="3">
        <v>16001</v>
      </c>
    </row>
    <row r="30" s="3" customFormat="1" ht="25" customHeight="1" spans="1:5">
      <c r="A30" s="3">
        <v>16001005</v>
      </c>
      <c r="B30" s="15" t="s">
        <v>56</v>
      </c>
      <c r="C30" s="3" t="s">
        <v>64</v>
      </c>
      <c r="D30" s="16" t="s">
        <v>65</v>
      </c>
      <c r="E30" s="3">
        <v>16001</v>
      </c>
    </row>
    <row r="31" s="4" customFormat="1" ht="25" customHeight="1" spans="1:5">
      <c r="A31" s="4">
        <v>16001006</v>
      </c>
      <c r="B31" s="17" t="s">
        <v>56</v>
      </c>
      <c r="C31" s="4">
        <v>100</v>
      </c>
      <c r="D31" s="18" t="s">
        <v>66</v>
      </c>
      <c r="E31" s="4">
        <v>16001</v>
      </c>
    </row>
    <row r="32" s="3" customFormat="1" ht="25" customHeight="1" spans="1:5">
      <c r="A32" s="3">
        <v>16001007</v>
      </c>
      <c r="B32" s="15" t="s">
        <v>56</v>
      </c>
      <c r="C32" s="3" t="s">
        <v>67</v>
      </c>
      <c r="D32" s="16" t="s">
        <v>68</v>
      </c>
      <c r="E32" s="3">
        <v>16001</v>
      </c>
    </row>
    <row r="33" s="3" customFormat="1" ht="25" customHeight="1" spans="1:5">
      <c r="A33" s="3">
        <v>16001008</v>
      </c>
      <c r="B33" s="15" t="s">
        <v>56</v>
      </c>
      <c r="C33" s="3" t="s">
        <v>69</v>
      </c>
      <c r="D33" s="16" t="s">
        <v>70</v>
      </c>
      <c r="E33" s="3">
        <v>16001</v>
      </c>
    </row>
    <row r="34" s="3" customFormat="1" ht="25" customHeight="1" spans="1:5">
      <c r="A34" s="3">
        <v>16001009</v>
      </c>
      <c r="B34" s="15" t="s">
        <v>56</v>
      </c>
      <c r="C34" s="3" t="s">
        <v>71</v>
      </c>
      <c r="D34" s="16" t="s">
        <v>72</v>
      </c>
      <c r="E34" s="3">
        <v>16001</v>
      </c>
    </row>
    <row r="35" s="4" customFormat="1" ht="25" customHeight="1" spans="1:5">
      <c r="A35" s="4">
        <v>16001010</v>
      </c>
      <c r="B35" s="17" t="s">
        <v>56</v>
      </c>
      <c r="C35" s="4" t="s">
        <v>73</v>
      </c>
      <c r="D35" s="18" t="s">
        <v>74</v>
      </c>
      <c r="E35" s="4">
        <v>16001</v>
      </c>
    </row>
    <row r="36" s="3" customFormat="1" ht="25" customHeight="1" spans="1:5">
      <c r="A36" s="3">
        <v>16001011</v>
      </c>
      <c r="B36" s="15" t="s">
        <v>56</v>
      </c>
      <c r="C36" s="3" t="s">
        <v>75</v>
      </c>
      <c r="D36" s="16" t="s">
        <v>76</v>
      </c>
      <c r="E36" s="3">
        <v>16001</v>
      </c>
    </row>
    <row r="37" s="3" customFormat="1" ht="25" customHeight="1" spans="1:5">
      <c r="A37" s="3">
        <v>16001012</v>
      </c>
      <c r="B37" s="15" t="s">
        <v>56</v>
      </c>
      <c r="C37" s="3">
        <v>30</v>
      </c>
      <c r="D37" s="16" t="s">
        <v>77</v>
      </c>
      <c r="E37" s="3">
        <v>16001</v>
      </c>
    </row>
    <row r="38" s="3" customFormat="1" ht="25" customHeight="1" spans="1:5">
      <c r="A38" s="3">
        <v>16001013</v>
      </c>
      <c r="B38" s="15" t="s">
        <v>56</v>
      </c>
      <c r="C38" s="3" t="s">
        <v>78</v>
      </c>
      <c r="D38" s="16" t="s">
        <v>79</v>
      </c>
      <c r="E38" s="3">
        <v>16001</v>
      </c>
    </row>
    <row r="39" s="3" customFormat="1" ht="25" customHeight="1" spans="1:5">
      <c r="A39" s="3">
        <v>16001014</v>
      </c>
      <c r="B39" s="15" t="s">
        <v>56</v>
      </c>
      <c r="C39" s="3" t="s">
        <v>135</v>
      </c>
      <c r="D39" s="16" t="s">
        <v>81</v>
      </c>
      <c r="E39" s="3">
        <v>16001</v>
      </c>
    </row>
    <row r="40" s="3" customFormat="1" ht="25" customHeight="1" spans="1:5">
      <c r="A40" s="3">
        <v>16001015</v>
      </c>
      <c r="B40" s="15" t="s">
        <v>56</v>
      </c>
      <c r="C40" s="3" t="s">
        <v>136</v>
      </c>
      <c r="D40" s="16" t="s">
        <v>83</v>
      </c>
      <c r="E40" s="3">
        <v>16001</v>
      </c>
    </row>
    <row r="41" s="3" customFormat="1" ht="25" customHeight="1" spans="1:5">
      <c r="A41" s="3">
        <v>16001016</v>
      </c>
      <c r="B41" s="15" t="s">
        <v>56</v>
      </c>
      <c r="C41" s="3" t="s">
        <v>137</v>
      </c>
      <c r="D41" s="16" t="s">
        <v>84</v>
      </c>
      <c r="E41" s="3">
        <v>16001</v>
      </c>
    </row>
    <row r="42" s="3" customFormat="1" ht="25" customHeight="1" spans="1:5">
      <c r="A42" s="3">
        <v>16001017</v>
      </c>
      <c r="B42" s="15" t="s">
        <v>56</v>
      </c>
      <c r="C42" s="3" t="s">
        <v>138</v>
      </c>
      <c r="D42" s="16" t="s">
        <v>85</v>
      </c>
      <c r="E42" s="3">
        <v>16001</v>
      </c>
    </row>
    <row r="43" s="5" customFormat="1" ht="27" spans="1:5">
      <c r="A43" s="4">
        <v>16001018</v>
      </c>
      <c r="B43" s="17" t="s">
        <v>56</v>
      </c>
      <c r="C43" s="5" t="s">
        <v>86</v>
      </c>
      <c r="D43" s="19" t="s">
        <v>87</v>
      </c>
      <c r="E43" s="4">
        <v>16001</v>
      </c>
    </row>
    <row r="44" s="5" customFormat="1" ht="27" spans="1:5">
      <c r="A44" s="4">
        <v>16001019</v>
      </c>
      <c r="B44" s="17" t="s">
        <v>56</v>
      </c>
      <c r="C44" s="5" t="s">
        <v>88</v>
      </c>
      <c r="D44" s="19" t="s">
        <v>89</v>
      </c>
      <c r="E44" s="4">
        <v>16001</v>
      </c>
    </row>
    <row r="45" s="3" customFormat="1" ht="25" customHeight="1" spans="1:5">
      <c r="A45" s="3">
        <v>16001020</v>
      </c>
      <c r="B45" s="15" t="s">
        <v>56</v>
      </c>
      <c r="C45" s="3">
        <v>300</v>
      </c>
      <c r="D45" s="16" t="s">
        <v>90</v>
      </c>
      <c r="E45" s="3">
        <v>16001</v>
      </c>
    </row>
    <row r="46" s="3" customFormat="1" ht="25" customHeight="1" spans="1:5">
      <c r="A46" s="3">
        <v>16001021</v>
      </c>
      <c r="B46" s="15" t="s">
        <v>56</v>
      </c>
      <c r="C46" s="3" t="s">
        <v>91</v>
      </c>
      <c r="D46" s="16" t="s">
        <v>92</v>
      </c>
      <c r="E46" s="3">
        <v>16001</v>
      </c>
    </row>
    <row r="47" s="3" customFormat="1" ht="25" customHeight="1" spans="1:5">
      <c r="A47" s="3">
        <v>16001022</v>
      </c>
      <c r="B47" s="15" t="s">
        <v>56</v>
      </c>
      <c r="C47" s="3">
        <v>1</v>
      </c>
      <c r="D47" s="16" t="s">
        <v>93</v>
      </c>
      <c r="E47" s="3">
        <v>16001</v>
      </c>
    </row>
    <row r="48" s="3" customFormat="1" ht="25" customHeight="1" spans="1:5">
      <c r="A48" s="3">
        <v>16001023</v>
      </c>
      <c r="B48" s="15" t="s">
        <v>56</v>
      </c>
      <c r="C48" s="3">
        <v>10</v>
      </c>
      <c r="D48" s="16" t="s">
        <v>94</v>
      </c>
      <c r="E48" s="3">
        <v>16001</v>
      </c>
    </row>
    <row r="49" s="3" customFormat="1" ht="25" customHeight="1" spans="1:5">
      <c r="A49" s="3">
        <v>16001024</v>
      </c>
      <c r="B49" s="15" t="s">
        <v>56</v>
      </c>
      <c r="C49" s="3">
        <v>6000</v>
      </c>
      <c r="D49" s="16" t="s">
        <v>95</v>
      </c>
      <c r="E49" s="3">
        <v>16001</v>
      </c>
    </row>
    <row r="50" s="3" customFormat="1" ht="25" customHeight="1" spans="1:5">
      <c r="A50" s="3">
        <v>16001025</v>
      </c>
      <c r="B50" s="15" t="s">
        <v>56</v>
      </c>
      <c r="C50" s="3">
        <v>60</v>
      </c>
      <c r="D50" s="16" t="s">
        <v>96</v>
      </c>
      <c r="E50" s="3">
        <v>16001</v>
      </c>
    </row>
    <row r="51" s="3" customFormat="1" ht="25" customHeight="1" spans="1:5">
      <c r="A51" s="3">
        <v>16001026</v>
      </c>
      <c r="B51" s="15" t="s">
        <v>56</v>
      </c>
      <c r="C51" s="3">
        <v>1</v>
      </c>
      <c r="D51" s="16" t="s">
        <v>97</v>
      </c>
      <c r="E51" s="3">
        <v>16001</v>
      </c>
    </row>
    <row r="52" s="2" customFormat="1" ht="25" customHeight="1" spans="1:5">
      <c r="A52" s="2">
        <v>17001001</v>
      </c>
      <c r="B52" s="13" t="s">
        <v>98</v>
      </c>
      <c r="C52" s="2" t="s">
        <v>99</v>
      </c>
      <c r="D52" s="14" t="s">
        <v>100</v>
      </c>
      <c r="E52" s="2">
        <v>17001</v>
      </c>
    </row>
    <row r="53" s="2" customFormat="1" ht="25" customHeight="1" spans="1:5">
      <c r="A53" s="2">
        <v>18001001</v>
      </c>
      <c r="B53" s="13" t="s">
        <v>101</v>
      </c>
      <c r="C53" s="2">
        <v>1</v>
      </c>
      <c r="D53" s="14" t="s">
        <v>102</v>
      </c>
      <c r="E53" s="2">
        <v>18001</v>
      </c>
    </row>
    <row r="54" s="2" customFormat="1" ht="25" customHeight="1" spans="1:5">
      <c r="A54" s="2">
        <v>18001002</v>
      </c>
      <c r="B54" s="13" t="s">
        <v>101</v>
      </c>
      <c r="C54" s="2">
        <v>2</v>
      </c>
      <c r="D54" s="14" t="s">
        <v>103</v>
      </c>
      <c r="E54" s="2">
        <v>18001</v>
      </c>
    </row>
    <row r="55" ht="25" customHeight="1" spans="1:5">
      <c r="A55" s="2">
        <v>18001003</v>
      </c>
      <c r="B55" s="13" t="s">
        <v>101</v>
      </c>
      <c r="C55" s="2">
        <v>1</v>
      </c>
      <c r="D55" s="20" t="s">
        <v>104</v>
      </c>
      <c r="E55" s="2">
        <v>18001</v>
      </c>
    </row>
    <row r="56" s="2" customFormat="1" ht="25" customHeight="1" spans="1:5">
      <c r="A56" s="2">
        <v>19001001</v>
      </c>
      <c r="B56" s="13" t="s">
        <v>105</v>
      </c>
      <c r="C56" s="2">
        <v>50010011</v>
      </c>
      <c r="D56" s="14" t="s">
        <v>106</v>
      </c>
      <c r="E56" s="2">
        <v>19001</v>
      </c>
    </row>
    <row r="57" s="2" customFormat="1" ht="25" customHeight="1" spans="1:5">
      <c r="A57" s="2">
        <v>19001002</v>
      </c>
      <c r="B57" s="13" t="s">
        <v>105</v>
      </c>
      <c r="C57" s="2">
        <v>10</v>
      </c>
      <c r="D57" s="14" t="s">
        <v>107</v>
      </c>
      <c r="E57" s="2">
        <v>19001</v>
      </c>
    </row>
    <row r="58" s="2" customFormat="1" ht="25" customHeight="1" spans="1:5">
      <c r="A58" s="2">
        <v>19001003</v>
      </c>
      <c r="B58" s="13" t="s">
        <v>105</v>
      </c>
      <c r="C58" s="2" t="s">
        <v>108</v>
      </c>
      <c r="D58" s="14" t="s">
        <v>109</v>
      </c>
      <c r="E58" s="2">
        <v>19001</v>
      </c>
    </row>
    <row r="59" s="2" customFormat="1" ht="25" customHeight="1" spans="1:5">
      <c r="A59" s="2">
        <v>19001004</v>
      </c>
      <c r="B59" s="13" t="s">
        <v>105</v>
      </c>
      <c r="C59" s="2">
        <v>10</v>
      </c>
      <c r="D59" s="14" t="s">
        <v>110</v>
      </c>
      <c r="E59" s="2">
        <v>19001</v>
      </c>
    </row>
    <row r="60" s="2" customFormat="1" ht="25" customHeight="1" spans="1:5">
      <c r="A60" s="2">
        <v>19001005</v>
      </c>
      <c r="B60" s="13" t="s">
        <v>105</v>
      </c>
      <c r="C60" s="2" t="s">
        <v>111</v>
      </c>
      <c r="D60" s="14" t="s">
        <v>112</v>
      </c>
      <c r="E60" s="2">
        <v>19001</v>
      </c>
    </row>
    <row r="61" s="2" customFormat="1" ht="25" customHeight="1" spans="1:5">
      <c r="A61" s="2">
        <v>19001006</v>
      </c>
      <c r="B61" s="13" t="s">
        <v>105</v>
      </c>
      <c r="C61" s="2" t="s">
        <v>113</v>
      </c>
      <c r="D61" s="14" t="s">
        <v>114</v>
      </c>
      <c r="E61" s="2">
        <v>19001</v>
      </c>
    </row>
    <row r="62" s="6" customFormat="1" spans="1:5">
      <c r="A62" s="6">
        <v>21001001</v>
      </c>
      <c r="B62" s="21" t="s">
        <v>115</v>
      </c>
      <c r="C62" s="6" t="s">
        <v>116</v>
      </c>
      <c r="D62" s="22" t="s">
        <v>117</v>
      </c>
      <c r="E62" s="6">
        <v>21001</v>
      </c>
    </row>
    <row r="63" s="6" customFormat="1" spans="1:5">
      <c r="A63" s="6">
        <v>21001002</v>
      </c>
      <c r="B63" s="21" t="s">
        <v>115</v>
      </c>
      <c r="C63" s="6">
        <v>2000</v>
      </c>
      <c r="D63" s="22" t="s">
        <v>118</v>
      </c>
      <c r="E63" s="6">
        <v>21001</v>
      </c>
    </row>
    <row r="64" s="6" customFormat="1" ht="30" spans="1:5">
      <c r="A64" s="6">
        <v>21001003</v>
      </c>
      <c r="B64" s="21" t="s">
        <v>115</v>
      </c>
      <c r="C64" s="6" t="s">
        <v>119</v>
      </c>
      <c r="D64" s="22" t="s">
        <v>120</v>
      </c>
      <c r="E64" s="6">
        <v>21001</v>
      </c>
    </row>
    <row r="65" s="6" customFormat="1" spans="1:5">
      <c r="A65" s="6">
        <v>21001004</v>
      </c>
      <c r="B65" s="21" t="s">
        <v>115</v>
      </c>
      <c r="C65" s="6">
        <v>2000</v>
      </c>
      <c r="D65" s="22" t="s">
        <v>121</v>
      </c>
      <c r="E65" s="6">
        <v>21001</v>
      </c>
    </row>
    <row r="66" s="6" customFormat="1" spans="1:5">
      <c r="A66" s="6">
        <v>21001005</v>
      </c>
      <c r="B66" s="21" t="s">
        <v>115</v>
      </c>
      <c r="C66" s="6">
        <v>21600006</v>
      </c>
      <c r="D66" s="22" t="s">
        <v>122</v>
      </c>
      <c r="E66" s="6">
        <v>21001</v>
      </c>
    </row>
    <row r="67" s="6" customFormat="1" spans="1:5">
      <c r="A67" s="6">
        <v>21001006</v>
      </c>
      <c r="B67" s="21" t="s">
        <v>115</v>
      </c>
      <c r="C67" s="6" t="s">
        <v>123</v>
      </c>
      <c r="D67" s="22" t="s">
        <v>124</v>
      </c>
      <c r="E67" s="6">
        <v>21001</v>
      </c>
    </row>
    <row r="68" spans="1:5">
      <c r="A68" s="6">
        <v>21001007</v>
      </c>
      <c r="B68" s="21" t="s">
        <v>115</v>
      </c>
      <c r="C68" s="23">
        <v>3</v>
      </c>
      <c r="D68" s="20" t="s">
        <v>125</v>
      </c>
      <c r="E68" s="6">
        <v>21001</v>
      </c>
    </row>
    <row r="69" spans="1:5">
      <c r="A69" s="6">
        <v>21001008</v>
      </c>
      <c r="B69" s="21" t="s">
        <v>115</v>
      </c>
      <c r="C69" s="11" t="s">
        <v>126</v>
      </c>
      <c r="D69" s="20" t="s">
        <v>127</v>
      </c>
      <c r="E69" s="6">
        <v>21001</v>
      </c>
    </row>
    <row r="70" s="7" customFormat="1" ht="25" customHeight="1" spans="1:5">
      <c r="A70" s="7">
        <v>10001001</v>
      </c>
      <c r="B70" s="24" t="s">
        <v>15</v>
      </c>
      <c r="C70" s="7">
        <v>20</v>
      </c>
      <c r="D70" s="25" t="s">
        <v>16</v>
      </c>
      <c r="E70" s="7">
        <v>10001</v>
      </c>
    </row>
    <row r="71" s="7" customFormat="1" ht="25" customHeight="1" spans="1:5">
      <c r="A71" s="7">
        <v>10001002</v>
      </c>
      <c r="B71" s="24" t="s">
        <v>15</v>
      </c>
      <c r="C71" s="7">
        <v>300</v>
      </c>
      <c r="D71" s="25" t="s">
        <v>17</v>
      </c>
      <c r="E71" s="7">
        <v>10001</v>
      </c>
    </row>
    <row r="72" s="7" customFormat="1" ht="25" customHeight="1" spans="1:5">
      <c r="A72" s="7">
        <v>10001003</v>
      </c>
      <c r="B72" s="24" t="s">
        <v>18</v>
      </c>
      <c r="C72" s="7" t="s">
        <v>139</v>
      </c>
      <c r="D72" s="25" t="s">
        <v>20</v>
      </c>
      <c r="E72" s="7">
        <v>10001</v>
      </c>
    </row>
    <row r="73" s="8" customFormat="1" ht="25" customHeight="1" spans="1:5">
      <c r="A73" s="8">
        <v>10001005</v>
      </c>
      <c r="B73" s="26" t="s">
        <v>18</v>
      </c>
      <c r="C73" s="8" t="s">
        <v>21</v>
      </c>
      <c r="D73" s="27" t="s">
        <v>22</v>
      </c>
      <c r="E73" s="8">
        <v>10001</v>
      </c>
    </row>
    <row r="74" s="8" customFormat="1" ht="25" customHeight="1" spans="1:5">
      <c r="A74" s="8">
        <v>10001006</v>
      </c>
      <c r="B74" s="26" t="s">
        <v>15</v>
      </c>
      <c r="C74" s="8" t="s">
        <v>140</v>
      </c>
      <c r="D74" s="27" t="s">
        <v>24</v>
      </c>
      <c r="E74" s="8">
        <v>10001</v>
      </c>
    </row>
    <row r="75" s="9" customFormat="1" spans="1:5">
      <c r="A75" s="28" t="s">
        <v>128</v>
      </c>
      <c r="B75" s="29" t="s">
        <v>129</v>
      </c>
      <c r="C75" s="30">
        <v>10</v>
      </c>
      <c r="D75" s="31" t="s">
        <v>130</v>
      </c>
      <c r="E75" s="28" t="s">
        <v>131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77"/>
  <sheetViews>
    <sheetView workbookViewId="0">
      <pane ySplit="4" topLeftCell="A5" activePane="bottomLeft" state="frozen"/>
      <selection/>
      <selection pane="bottomLeft" activeCell="M70" sqref="I5:M70"/>
    </sheetView>
  </sheetViews>
  <sheetFormatPr defaultColWidth="9.14285714285714" defaultRowHeight="15"/>
  <cols>
    <col min="1" max="1" width="9.57142857142857"/>
    <col min="3" max="3" width="9.57142857142857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I1" t="s">
        <v>0</v>
      </c>
      <c r="J1" t="s">
        <v>1</v>
      </c>
      <c r="K1" t="s">
        <v>2</v>
      </c>
      <c r="L1" t="s">
        <v>3</v>
      </c>
      <c r="M1" t="s">
        <v>4</v>
      </c>
      <c r="P1">
        <f>IF(I1=A1,0,1)</f>
        <v>0</v>
      </c>
      <c r="Q1">
        <f>IF(J1=B1,0,1)</f>
        <v>0</v>
      </c>
      <c r="R1">
        <f>IF(K1=C1,0,1)</f>
        <v>0</v>
      </c>
      <c r="S1">
        <f>IF(L1=D1,0,1)</f>
        <v>0</v>
      </c>
      <c r="T1">
        <f>IF(M1=E1,0,1)</f>
        <v>0</v>
      </c>
    </row>
    <row r="2" spans="1:20">
      <c r="A2" t="s">
        <v>5</v>
      </c>
      <c r="B2" t="s">
        <v>6</v>
      </c>
      <c r="C2" t="s">
        <v>7</v>
      </c>
      <c r="D2" t="s">
        <v>8</v>
      </c>
      <c r="E2" t="s">
        <v>4</v>
      </c>
      <c r="I2" t="s">
        <v>5</v>
      </c>
      <c r="J2" t="s">
        <v>6</v>
      </c>
      <c r="K2" t="s">
        <v>7</v>
      </c>
      <c r="L2" t="s">
        <v>8</v>
      </c>
      <c r="M2" t="s">
        <v>4</v>
      </c>
      <c r="P2">
        <f>IF(I2=A2,0,1)</f>
        <v>0</v>
      </c>
      <c r="Q2">
        <f>IF(J2=B2,0,1)</f>
        <v>0</v>
      </c>
      <c r="R2">
        <f>IF(K2=C2,0,1)</f>
        <v>0</v>
      </c>
      <c r="S2">
        <f>IF(L2=D2,0,1)</f>
        <v>0</v>
      </c>
      <c r="T2">
        <f>IF(M2=E2,0,1)</f>
        <v>0</v>
      </c>
    </row>
    <row r="3" spans="1:20">
      <c r="A3" t="s">
        <v>9</v>
      </c>
      <c r="B3" t="s">
        <v>10</v>
      </c>
      <c r="C3" t="s">
        <v>10</v>
      </c>
      <c r="D3" t="s">
        <v>10</v>
      </c>
      <c r="E3" t="s">
        <v>9</v>
      </c>
      <c r="I3" t="s">
        <v>9</v>
      </c>
      <c r="J3" t="s">
        <v>10</v>
      </c>
      <c r="K3" t="s">
        <v>10</v>
      </c>
      <c r="L3" t="s">
        <v>10</v>
      </c>
      <c r="M3" t="s">
        <v>9</v>
      </c>
      <c r="P3">
        <f>IF(I3=A3,0,1)</f>
        <v>0</v>
      </c>
      <c r="Q3">
        <f>IF(J3=B3,0,1)</f>
        <v>0</v>
      </c>
      <c r="R3">
        <f>IF(K3=C3,0,1)</f>
        <v>0</v>
      </c>
      <c r="S3">
        <f>IF(L3=D3,0,1)</f>
        <v>0</v>
      </c>
      <c r="T3">
        <f>IF(M3=E3,0,1)</f>
        <v>0</v>
      </c>
    </row>
    <row r="4" spans="1:20">
      <c r="A4" t="s">
        <v>0</v>
      </c>
      <c r="B4" t="s">
        <v>11</v>
      </c>
      <c r="C4" t="s">
        <v>12</v>
      </c>
      <c r="D4" t="s">
        <v>13</v>
      </c>
      <c r="E4" t="s">
        <v>14</v>
      </c>
      <c r="I4" t="s">
        <v>0</v>
      </c>
      <c r="J4" t="s">
        <v>11</v>
      </c>
      <c r="K4" t="s">
        <v>12</v>
      </c>
      <c r="L4" t="s">
        <v>13</v>
      </c>
      <c r="M4" t="s">
        <v>14</v>
      </c>
      <c r="P4">
        <f>IF(I4=A4,0,1)</f>
        <v>0</v>
      </c>
      <c r="Q4">
        <f>IF(J4=B4,0,1)</f>
        <v>0</v>
      </c>
      <c r="R4">
        <f>IF(K4=C4,0,1)</f>
        <v>0</v>
      </c>
      <c r="S4">
        <f>IF(L4=D4,0,1)</f>
        <v>0</v>
      </c>
      <c r="T4">
        <f>IF(M4=E4,0,1)</f>
        <v>0</v>
      </c>
    </row>
    <row r="5" spans="1:20">
      <c r="A5">
        <v>10001001</v>
      </c>
      <c r="B5" t="s">
        <v>15</v>
      </c>
      <c r="C5">
        <v>20</v>
      </c>
      <c r="D5" t="s">
        <v>16</v>
      </c>
      <c r="E5">
        <v>10001</v>
      </c>
      <c r="I5">
        <v>10001001</v>
      </c>
      <c r="J5" t="s">
        <v>15</v>
      </c>
      <c r="K5">
        <v>5</v>
      </c>
      <c r="L5" t="s">
        <v>16</v>
      </c>
      <c r="M5">
        <v>10001</v>
      </c>
      <c r="P5">
        <f>IF(I5=A5,0,1)</f>
        <v>0</v>
      </c>
      <c r="Q5">
        <f>IF(J5=B5,0,1)</f>
        <v>0</v>
      </c>
      <c r="R5">
        <f>IF(K5=C5,0,1)</f>
        <v>1</v>
      </c>
      <c r="S5">
        <f>IF(L5=D5,0,1)</f>
        <v>0</v>
      </c>
      <c r="T5">
        <f>IF(M5=E5,0,1)</f>
        <v>0</v>
      </c>
    </row>
    <row r="6" spans="1:20">
      <c r="A6">
        <v>10001002</v>
      </c>
      <c r="B6" t="s">
        <v>15</v>
      </c>
      <c r="C6">
        <v>300</v>
      </c>
      <c r="D6" t="s">
        <v>17</v>
      </c>
      <c r="E6">
        <v>10001</v>
      </c>
      <c r="I6">
        <v>10001002</v>
      </c>
      <c r="J6" t="s">
        <v>15</v>
      </c>
      <c r="K6">
        <v>30</v>
      </c>
      <c r="L6" t="s">
        <v>17</v>
      </c>
      <c r="M6">
        <v>10001</v>
      </c>
      <c r="P6">
        <f t="shared" ref="P6:P37" si="0">IF(I6=A6,0,1)</f>
        <v>0</v>
      </c>
      <c r="Q6">
        <f t="shared" ref="Q6:Q37" si="1">IF(J6=B6,0,1)</f>
        <v>0</v>
      </c>
      <c r="R6">
        <f t="shared" ref="R6:R37" si="2">IF(K6=C6,0,1)</f>
        <v>1</v>
      </c>
      <c r="S6">
        <f t="shared" ref="S6:S37" si="3">IF(L6=D6,0,1)</f>
        <v>0</v>
      </c>
      <c r="T6">
        <f t="shared" ref="T6:T37" si="4">IF(M6=E6,0,1)</f>
        <v>0</v>
      </c>
    </row>
    <row r="7" spans="1:20">
      <c r="A7">
        <v>10001003</v>
      </c>
      <c r="B7" t="s">
        <v>18</v>
      </c>
      <c r="C7" t="s">
        <v>139</v>
      </c>
      <c r="D7" t="s">
        <v>20</v>
      </c>
      <c r="E7">
        <v>10001</v>
      </c>
      <c r="I7">
        <v>10001003</v>
      </c>
      <c r="J7" t="s">
        <v>18</v>
      </c>
      <c r="K7" t="s">
        <v>134</v>
      </c>
      <c r="L7" t="s">
        <v>20</v>
      </c>
      <c r="M7">
        <v>10001</v>
      </c>
      <c r="P7">
        <f t="shared" si="0"/>
        <v>0</v>
      </c>
      <c r="Q7">
        <f t="shared" si="1"/>
        <v>0</v>
      </c>
      <c r="R7">
        <f t="shared" si="2"/>
        <v>1</v>
      </c>
      <c r="S7">
        <f t="shared" si="3"/>
        <v>0</v>
      </c>
      <c r="T7">
        <f t="shared" si="4"/>
        <v>0</v>
      </c>
    </row>
    <row r="8" spans="1:20">
      <c r="A8">
        <v>10001005</v>
      </c>
      <c r="B8" t="s">
        <v>18</v>
      </c>
      <c r="C8" t="s">
        <v>21</v>
      </c>
      <c r="D8" t="s">
        <v>22</v>
      </c>
      <c r="E8">
        <v>10001</v>
      </c>
      <c r="I8">
        <v>10001005</v>
      </c>
      <c r="J8" t="s">
        <v>18</v>
      </c>
      <c r="K8" t="s">
        <v>21</v>
      </c>
      <c r="L8" t="s">
        <v>22</v>
      </c>
      <c r="M8">
        <v>10001</v>
      </c>
      <c r="P8">
        <f t="shared" si="0"/>
        <v>0</v>
      </c>
      <c r="Q8">
        <f t="shared" si="1"/>
        <v>0</v>
      </c>
      <c r="R8">
        <f t="shared" si="2"/>
        <v>0</v>
      </c>
      <c r="S8">
        <f t="shared" si="3"/>
        <v>0</v>
      </c>
      <c r="T8">
        <f t="shared" si="4"/>
        <v>0</v>
      </c>
    </row>
    <row r="9" spans="1:20">
      <c r="A9">
        <v>10001006</v>
      </c>
      <c r="B9" t="s">
        <v>15</v>
      </c>
      <c r="C9" t="s">
        <v>140</v>
      </c>
      <c r="D9" t="s">
        <v>24</v>
      </c>
      <c r="E9">
        <v>10001</v>
      </c>
      <c r="I9">
        <v>10001006</v>
      </c>
      <c r="J9" t="s">
        <v>15</v>
      </c>
      <c r="K9" t="s">
        <v>23</v>
      </c>
      <c r="L9" t="s">
        <v>24</v>
      </c>
      <c r="M9">
        <v>10001</v>
      </c>
      <c r="P9">
        <f t="shared" si="0"/>
        <v>0</v>
      </c>
      <c r="Q9">
        <f t="shared" si="1"/>
        <v>0</v>
      </c>
      <c r="R9">
        <f t="shared" si="2"/>
        <v>1</v>
      </c>
      <c r="S9">
        <f t="shared" si="3"/>
        <v>0</v>
      </c>
      <c r="T9">
        <f t="shared" si="4"/>
        <v>0</v>
      </c>
    </row>
    <row r="10" spans="1:20">
      <c r="A10">
        <v>11001001</v>
      </c>
      <c r="B10" t="s">
        <v>25</v>
      </c>
      <c r="C10">
        <v>101201</v>
      </c>
      <c r="D10" t="s">
        <v>26</v>
      </c>
      <c r="E10">
        <v>11001</v>
      </c>
      <c r="I10">
        <v>11001001</v>
      </c>
      <c r="J10" t="s">
        <v>25</v>
      </c>
      <c r="K10">
        <v>101201</v>
      </c>
      <c r="L10" t="s">
        <v>26</v>
      </c>
      <c r="M10">
        <v>11001</v>
      </c>
      <c r="P10">
        <f t="shared" si="0"/>
        <v>0</v>
      </c>
      <c r="Q10">
        <f t="shared" si="1"/>
        <v>0</v>
      </c>
      <c r="R10">
        <f t="shared" si="2"/>
        <v>0</v>
      </c>
      <c r="S10">
        <f t="shared" si="3"/>
        <v>0</v>
      </c>
      <c r="T10">
        <f t="shared" si="4"/>
        <v>0</v>
      </c>
    </row>
    <row r="11" spans="1:20">
      <c r="A11">
        <v>11001002</v>
      </c>
      <c r="B11" t="s">
        <v>25</v>
      </c>
      <c r="C11" t="s">
        <v>27</v>
      </c>
      <c r="D11" t="s">
        <v>28</v>
      </c>
      <c r="E11">
        <v>11001</v>
      </c>
      <c r="I11">
        <v>11001002</v>
      </c>
      <c r="J11" t="s">
        <v>25</v>
      </c>
      <c r="K11" t="s">
        <v>27</v>
      </c>
      <c r="L11" t="s">
        <v>28</v>
      </c>
      <c r="M11">
        <v>11001</v>
      </c>
      <c r="P11">
        <f t="shared" si="0"/>
        <v>0</v>
      </c>
      <c r="Q11">
        <f t="shared" si="1"/>
        <v>0</v>
      </c>
      <c r="R11">
        <f t="shared" si="2"/>
        <v>0</v>
      </c>
      <c r="S11">
        <f t="shared" si="3"/>
        <v>0</v>
      </c>
      <c r="T11">
        <f t="shared" si="4"/>
        <v>0</v>
      </c>
    </row>
    <row r="12" spans="1:20">
      <c r="A12">
        <v>11001003</v>
      </c>
      <c r="B12" t="s">
        <v>25</v>
      </c>
      <c r="C12" t="s">
        <v>29</v>
      </c>
      <c r="D12" t="s">
        <v>30</v>
      </c>
      <c r="E12">
        <v>11001</v>
      </c>
      <c r="I12">
        <v>11001003</v>
      </c>
      <c r="J12" t="s">
        <v>25</v>
      </c>
      <c r="K12" t="s">
        <v>29</v>
      </c>
      <c r="L12" t="s">
        <v>30</v>
      </c>
      <c r="M12">
        <v>11001</v>
      </c>
      <c r="P12">
        <f t="shared" si="0"/>
        <v>0</v>
      </c>
      <c r="Q12">
        <f t="shared" si="1"/>
        <v>0</v>
      </c>
      <c r="R12">
        <f t="shared" si="2"/>
        <v>0</v>
      </c>
      <c r="S12">
        <f t="shared" si="3"/>
        <v>0</v>
      </c>
      <c r="T12">
        <f t="shared" si="4"/>
        <v>0</v>
      </c>
    </row>
    <row r="13" spans="1:20">
      <c r="A13">
        <v>11001004</v>
      </c>
      <c r="B13" t="s">
        <v>25</v>
      </c>
      <c r="C13" t="s">
        <v>31</v>
      </c>
      <c r="D13" t="s">
        <v>32</v>
      </c>
      <c r="E13">
        <v>11001</v>
      </c>
      <c r="I13">
        <v>11001004</v>
      </c>
      <c r="J13" t="s">
        <v>25</v>
      </c>
      <c r="K13" t="s">
        <v>31</v>
      </c>
      <c r="L13" t="s">
        <v>32</v>
      </c>
      <c r="M13">
        <v>11001</v>
      </c>
      <c r="P13">
        <f t="shared" si="0"/>
        <v>0</v>
      </c>
      <c r="Q13">
        <f t="shared" si="1"/>
        <v>0</v>
      </c>
      <c r="R13">
        <f t="shared" si="2"/>
        <v>0</v>
      </c>
      <c r="S13">
        <f t="shared" si="3"/>
        <v>0</v>
      </c>
      <c r="T13">
        <f t="shared" si="4"/>
        <v>0</v>
      </c>
    </row>
    <row r="14" spans="1:20">
      <c r="A14">
        <v>11001005</v>
      </c>
      <c r="B14" t="s">
        <v>25</v>
      </c>
      <c r="C14" t="s">
        <v>33</v>
      </c>
      <c r="D14" t="s">
        <v>34</v>
      </c>
      <c r="E14">
        <v>11001</v>
      </c>
      <c r="I14">
        <v>11001005</v>
      </c>
      <c r="J14" t="s">
        <v>25</v>
      </c>
      <c r="K14" t="s">
        <v>33</v>
      </c>
      <c r="L14" t="s">
        <v>34</v>
      </c>
      <c r="M14">
        <v>11001</v>
      </c>
      <c r="P14">
        <f t="shared" si="0"/>
        <v>0</v>
      </c>
      <c r="Q14">
        <f t="shared" si="1"/>
        <v>0</v>
      </c>
      <c r="R14">
        <f t="shared" si="2"/>
        <v>0</v>
      </c>
      <c r="S14">
        <f t="shared" si="3"/>
        <v>0</v>
      </c>
      <c r="T14">
        <f t="shared" si="4"/>
        <v>0</v>
      </c>
    </row>
    <row r="15" spans="1:20">
      <c r="A15">
        <v>11001006</v>
      </c>
      <c r="B15" t="s">
        <v>25</v>
      </c>
      <c r="C15" t="s">
        <v>35</v>
      </c>
      <c r="D15" t="s">
        <v>22</v>
      </c>
      <c r="E15">
        <v>11001</v>
      </c>
      <c r="I15">
        <v>11001006</v>
      </c>
      <c r="J15" t="s">
        <v>25</v>
      </c>
      <c r="K15" t="s">
        <v>35</v>
      </c>
      <c r="L15" t="s">
        <v>22</v>
      </c>
      <c r="M15">
        <v>11001</v>
      </c>
      <c r="P15">
        <f t="shared" si="0"/>
        <v>0</v>
      </c>
      <c r="Q15">
        <f t="shared" si="1"/>
        <v>0</v>
      </c>
      <c r="R15">
        <f t="shared" si="2"/>
        <v>0</v>
      </c>
      <c r="S15">
        <f t="shared" si="3"/>
        <v>0</v>
      </c>
      <c r="T15">
        <f t="shared" si="4"/>
        <v>0</v>
      </c>
    </row>
    <row r="16" spans="1:20">
      <c r="A16">
        <v>11001007</v>
      </c>
      <c r="B16" t="s">
        <v>25</v>
      </c>
      <c r="C16" t="s">
        <v>36</v>
      </c>
      <c r="D16" t="s">
        <v>37</v>
      </c>
      <c r="E16">
        <v>11001</v>
      </c>
      <c r="I16">
        <v>11001007</v>
      </c>
      <c r="J16" t="s">
        <v>25</v>
      </c>
      <c r="K16" t="s">
        <v>36</v>
      </c>
      <c r="L16" t="s">
        <v>37</v>
      </c>
      <c r="M16">
        <v>11001</v>
      </c>
      <c r="P16">
        <f t="shared" si="0"/>
        <v>0</v>
      </c>
      <c r="Q16">
        <f t="shared" si="1"/>
        <v>0</v>
      </c>
      <c r="R16">
        <f t="shared" si="2"/>
        <v>0</v>
      </c>
      <c r="S16">
        <f t="shared" si="3"/>
        <v>0</v>
      </c>
      <c r="T16">
        <f t="shared" si="4"/>
        <v>0</v>
      </c>
    </row>
    <row r="17" spans="1:20">
      <c r="I17">
        <v>12001001</v>
      </c>
      <c r="J17" t="s">
        <v>38</v>
      </c>
      <c r="K17" t="s">
        <v>39</v>
      </c>
      <c r="L17" t="s">
        <v>40</v>
      </c>
      <c r="M17">
        <v>12001</v>
      </c>
      <c r="P17">
        <f t="shared" si="0"/>
        <v>1</v>
      </c>
      <c r="Q17">
        <f t="shared" si="1"/>
        <v>1</v>
      </c>
      <c r="R17">
        <f t="shared" si="2"/>
        <v>1</v>
      </c>
      <c r="S17">
        <f t="shared" si="3"/>
        <v>1</v>
      </c>
      <c r="T17">
        <f t="shared" si="4"/>
        <v>1</v>
      </c>
    </row>
    <row r="18" spans="1:20">
      <c r="I18">
        <v>12001002</v>
      </c>
      <c r="J18" t="s">
        <v>38</v>
      </c>
      <c r="K18" t="s">
        <v>41</v>
      </c>
      <c r="L18" t="s">
        <v>42</v>
      </c>
      <c r="M18">
        <v>12001</v>
      </c>
      <c r="P18">
        <f t="shared" si="0"/>
        <v>1</v>
      </c>
      <c r="Q18">
        <f t="shared" si="1"/>
        <v>1</v>
      </c>
      <c r="R18">
        <f t="shared" si="2"/>
        <v>1</v>
      </c>
      <c r="S18">
        <f t="shared" si="3"/>
        <v>1</v>
      </c>
      <c r="T18">
        <f t="shared" si="4"/>
        <v>1</v>
      </c>
    </row>
    <row r="19" spans="1:20">
      <c r="I19">
        <v>12001003</v>
      </c>
      <c r="J19" t="s">
        <v>38</v>
      </c>
      <c r="K19" t="s">
        <v>43</v>
      </c>
      <c r="L19" t="s">
        <v>44</v>
      </c>
      <c r="M19">
        <v>12001</v>
      </c>
      <c r="P19">
        <f t="shared" si="0"/>
        <v>1</v>
      </c>
      <c r="Q19">
        <f t="shared" si="1"/>
        <v>1</v>
      </c>
      <c r="R19">
        <f t="shared" si="2"/>
        <v>1</v>
      </c>
      <c r="S19">
        <f t="shared" si="3"/>
        <v>1</v>
      </c>
      <c r="T19">
        <f t="shared" si="4"/>
        <v>1</v>
      </c>
    </row>
    <row r="20" spans="1:20">
      <c r="A20">
        <v>14001001</v>
      </c>
      <c r="B20" t="s">
        <v>45</v>
      </c>
      <c r="C20">
        <v>5</v>
      </c>
      <c r="D20" t="s">
        <v>46</v>
      </c>
      <c r="E20">
        <v>14001</v>
      </c>
      <c r="I20">
        <v>14001001</v>
      </c>
      <c r="J20" t="s">
        <v>45</v>
      </c>
      <c r="K20">
        <v>2</v>
      </c>
      <c r="L20" t="s">
        <v>46</v>
      </c>
      <c r="M20">
        <v>14001</v>
      </c>
      <c r="P20">
        <f t="shared" si="0"/>
        <v>0</v>
      </c>
      <c r="Q20">
        <f t="shared" si="1"/>
        <v>0</v>
      </c>
      <c r="R20">
        <f t="shared" si="2"/>
        <v>1</v>
      </c>
      <c r="S20">
        <f t="shared" si="3"/>
        <v>0</v>
      </c>
      <c r="T20">
        <f t="shared" si="4"/>
        <v>0</v>
      </c>
    </row>
    <row r="21" spans="1:20">
      <c r="A21">
        <v>14001002</v>
      </c>
      <c r="B21" t="s">
        <v>45</v>
      </c>
      <c r="C21">
        <v>7500</v>
      </c>
      <c r="D21" t="s">
        <v>47</v>
      </c>
      <c r="E21">
        <v>14001</v>
      </c>
      <c r="I21">
        <v>14001002</v>
      </c>
      <c r="J21" t="s">
        <v>45</v>
      </c>
      <c r="K21">
        <v>2000</v>
      </c>
      <c r="L21" t="s">
        <v>47</v>
      </c>
      <c r="M21">
        <v>14001</v>
      </c>
      <c r="P21">
        <f t="shared" si="0"/>
        <v>0</v>
      </c>
      <c r="Q21">
        <f t="shared" si="1"/>
        <v>0</v>
      </c>
      <c r="R21">
        <f t="shared" si="2"/>
        <v>1</v>
      </c>
      <c r="S21">
        <f t="shared" si="3"/>
        <v>0</v>
      </c>
      <c r="T21">
        <f t="shared" si="4"/>
        <v>0</v>
      </c>
    </row>
    <row r="22" spans="1:20">
      <c r="A22">
        <v>14001003</v>
      </c>
      <c r="B22" t="s">
        <v>45</v>
      </c>
      <c r="C22" t="s">
        <v>48</v>
      </c>
      <c r="D22" t="s">
        <v>49</v>
      </c>
      <c r="E22">
        <v>14001</v>
      </c>
      <c r="I22">
        <v>14001003</v>
      </c>
      <c r="J22" t="s">
        <v>45</v>
      </c>
      <c r="K22" t="s">
        <v>48</v>
      </c>
      <c r="L22" t="s">
        <v>49</v>
      </c>
      <c r="M22">
        <v>14001</v>
      </c>
      <c r="P22">
        <f t="shared" si="0"/>
        <v>0</v>
      </c>
      <c r="Q22">
        <f t="shared" si="1"/>
        <v>0</v>
      </c>
      <c r="R22">
        <f t="shared" si="2"/>
        <v>0</v>
      </c>
      <c r="S22">
        <f t="shared" si="3"/>
        <v>0</v>
      </c>
      <c r="T22">
        <f t="shared" si="4"/>
        <v>0</v>
      </c>
    </row>
    <row r="23" spans="1:20">
      <c r="A23">
        <v>14001004</v>
      </c>
      <c r="B23" t="s">
        <v>45</v>
      </c>
      <c r="C23" t="s">
        <v>141</v>
      </c>
      <c r="D23" t="s">
        <v>52</v>
      </c>
      <c r="E23">
        <v>14001</v>
      </c>
      <c r="I23">
        <v>14001004</v>
      </c>
      <c r="J23" t="s">
        <v>45</v>
      </c>
      <c r="K23" t="s">
        <v>51</v>
      </c>
      <c r="L23" t="s">
        <v>52</v>
      </c>
      <c r="M23">
        <v>14001</v>
      </c>
      <c r="P23">
        <f t="shared" ref="P23:P54" si="5">IF(I23=A23,0,1)</f>
        <v>0</v>
      </c>
      <c r="Q23">
        <f t="shared" ref="Q23:Q54" si="6">IF(J23=B23,0,1)</f>
        <v>0</v>
      </c>
      <c r="R23">
        <f t="shared" ref="R23:R54" si="7">IF(K23=C23,0,1)</f>
        <v>1</v>
      </c>
      <c r="S23">
        <f t="shared" ref="S23:S54" si="8">IF(L23=D23,0,1)</f>
        <v>0</v>
      </c>
      <c r="T23">
        <f t="shared" ref="T23:T54" si="9">IF(M23=E23,0,1)</f>
        <v>0</v>
      </c>
    </row>
    <row r="24" spans="1:20">
      <c r="A24">
        <v>15001001</v>
      </c>
      <c r="B24" t="s">
        <v>53</v>
      </c>
      <c r="C24">
        <v>15001</v>
      </c>
      <c r="D24" t="s">
        <v>54</v>
      </c>
      <c r="E24">
        <v>15001</v>
      </c>
      <c r="I24">
        <v>15001001</v>
      </c>
      <c r="J24" t="s">
        <v>53</v>
      </c>
      <c r="K24">
        <v>15001</v>
      </c>
      <c r="L24" t="s">
        <v>54</v>
      </c>
      <c r="M24">
        <v>15001</v>
      </c>
      <c r="P24">
        <f t="shared" si="5"/>
        <v>0</v>
      </c>
      <c r="Q24">
        <f t="shared" si="6"/>
        <v>0</v>
      </c>
      <c r="R24">
        <f t="shared" si="7"/>
        <v>0</v>
      </c>
      <c r="S24">
        <f t="shared" si="8"/>
        <v>0</v>
      </c>
      <c r="T24">
        <f t="shared" si="9"/>
        <v>0</v>
      </c>
    </row>
    <row r="25" spans="1:20">
      <c r="A25">
        <v>15001002</v>
      </c>
      <c r="B25" t="s">
        <v>53</v>
      </c>
      <c r="C25">
        <v>3000</v>
      </c>
      <c r="D25" t="s">
        <v>55</v>
      </c>
      <c r="E25">
        <v>15001</v>
      </c>
      <c r="I25">
        <v>15001002</v>
      </c>
      <c r="J25" t="s">
        <v>53</v>
      </c>
      <c r="K25">
        <v>100000</v>
      </c>
      <c r="L25" t="s">
        <v>55</v>
      </c>
      <c r="M25">
        <v>15001</v>
      </c>
      <c r="P25">
        <f t="shared" si="5"/>
        <v>0</v>
      </c>
      <c r="Q25">
        <f t="shared" si="6"/>
        <v>0</v>
      </c>
      <c r="R25">
        <f t="shared" si="7"/>
        <v>1</v>
      </c>
      <c r="S25">
        <f t="shared" si="8"/>
        <v>0</v>
      </c>
      <c r="T25">
        <f t="shared" si="9"/>
        <v>0</v>
      </c>
    </row>
    <row r="26" spans="1:20">
      <c r="A26">
        <v>16001001</v>
      </c>
      <c r="B26" t="s">
        <v>56</v>
      </c>
      <c r="C26" t="s">
        <v>57</v>
      </c>
      <c r="D26" t="s">
        <v>58</v>
      </c>
      <c r="E26">
        <v>16001</v>
      </c>
      <c r="I26">
        <v>16001001</v>
      </c>
      <c r="J26" t="s">
        <v>56</v>
      </c>
      <c r="K26" t="s">
        <v>57</v>
      </c>
      <c r="L26" t="s">
        <v>58</v>
      </c>
      <c r="M26">
        <v>16001</v>
      </c>
      <c r="P26">
        <f t="shared" si="5"/>
        <v>0</v>
      </c>
      <c r="Q26">
        <f t="shared" si="6"/>
        <v>0</v>
      </c>
      <c r="R26">
        <f t="shared" si="7"/>
        <v>0</v>
      </c>
      <c r="S26">
        <f t="shared" si="8"/>
        <v>0</v>
      </c>
      <c r="T26">
        <f t="shared" si="9"/>
        <v>0</v>
      </c>
    </row>
    <row r="27" spans="1:20">
      <c r="A27">
        <v>16001002</v>
      </c>
      <c r="B27" t="s">
        <v>56</v>
      </c>
      <c r="C27">
        <v>1</v>
      </c>
      <c r="D27" t="s">
        <v>59</v>
      </c>
      <c r="E27">
        <v>16001</v>
      </c>
      <c r="I27">
        <v>16001002</v>
      </c>
      <c r="J27" t="s">
        <v>56</v>
      </c>
      <c r="K27">
        <v>1</v>
      </c>
      <c r="L27" t="s">
        <v>59</v>
      </c>
      <c r="M27">
        <v>16001</v>
      </c>
      <c r="P27">
        <f t="shared" si="5"/>
        <v>0</v>
      </c>
      <c r="Q27">
        <f t="shared" si="6"/>
        <v>0</v>
      </c>
      <c r="R27">
        <f t="shared" si="7"/>
        <v>0</v>
      </c>
      <c r="S27">
        <f t="shared" si="8"/>
        <v>0</v>
      </c>
      <c r="T27">
        <f t="shared" si="9"/>
        <v>0</v>
      </c>
    </row>
    <row r="28" spans="1:20">
      <c r="A28">
        <v>16001003</v>
      </c>
      <c r="B28" t="s">
        <v>56</v>
      </c>
      <c r="C28" t="s">
        <v>60</v>
      </c>
      <c r="D28" t="s">
        <v>61</v>
      </c>
      <c r="E28">
        <v>16001</v>
      </c>
      <c r="I28">
        <v>16001003</v>
      </c>
      <c r="J28" t="s">
        <v>56</v>
      </c>
      <c r="K28" t="s">
        <v>60</v>
      </c>
      <c r="L28" t="s">
        <v>61</v>
      </c>
      <c r="M28">
        <v>16001</v>
      </c>
      <c r="P28">
        <f t="shared" si="5"/>
        <v>0</v>
      </c>
      <c r="Q28">
        <f t="shared" si="6"/>
        <v>0</v>
      </c>
      <c r="R28">
        <f t="shared" si="7"/>
        <v>0</v>
      </c>
      <c r="S28">
        <f t="shared" si="8"/>
        <v>0</v>
      </c>
      <c r="T28">
        <f t="shared" si="9"/>
        <v>0</v>
      </c>
    </row>
    <row r="29" spans="1:20">
      <c r="A29">
        <v>16001004</v>
      </c>
      <c r="B29" t="s">
        <v>56</v>
      </c>
      <c r="C29" t="s">
        <v>62</v>
      </c>
      <c r="D29" t="s">
        <v>63</v>
      </c>
      <c r="E29">
        <v>16001</v>
      </c>
      <c r="I29">
        <v>16001004</v>
      </c>
      <c r="J29" t="s">
        <v>56</v>
      </c>
      <c r="K29" t="s">
        <v>62</v>
      </c>
      <c r="L29" t="s">
        <v>63</v>
      </c>
      <c r="M29">
        <v>16001</v>
      </c>
      <c r="P29">
        <f t="shared" si="5"/>
        <v>0</v>
      </c>
      <c r="Q29">
        <f t="shared" si="6"/>
        <v>0</v>
      </c>
      <c r="R29">
        <f t="shared" si="7"/>
        <v>0</v>
      </c>
      <c r="S29">
        <f t="shared" si="8"/>
        <v>0</v>
      </c>
      <c r="T29">
        <f t="shared" si="9"/>
        <v>0</v>
      </c>
    </row>
    <row r="30" spans="1:20">
      <c r="A30">
        <v>16001005</v>
      </c>
      <c r="B30" t="s">
        <v>56</v>
      </c>
      <c r="C30" t="s">
        <v>64</v>
      </c>
      <c r="D30" t="s">
        <v>65</v>
      </c>
      <c r="E30">
        <v>16001</v>
      </c>
      <c r="I30">
        <v>16001005</v>
      </c>
      <c r="J30" t="s">
        <v>56</v>
      </c>
      <c r="K30" t="s">
        <v>64</v>
      </c>
      <c r="L30" t="s">
        <v>65</v>
      </c>
      <c r="M30">
        <v>16001</v>
      </c>
      <c r="P30">
        <f t="shared" si="5"/>
        <v>0</v>
      </c>
      <c r="Q30">
        <f t="shared" si="6"/>
        <v>0</v>
      </c>
      <c r="R30">
        <f t="shared" si="7"/>
        <v>0</v>
      </c>
      <c r="S30">
        <f t="shared" si="8"/>
        <v>0</v>
      </c>
      <c r="T30">
        <f t="shared" si="9"/>
        <v>0</v>
      </c>
    </row>
    <row r="31" spans="1:20">
      <c r="A31">
        <v>16001006</v>
      </c>
      <c r="B31" t="s">
        <v>56</v>
      </c>
      <c r="C31">
        <v>100</v>
      </c>
      <c r="D31" t="s">
        <v>66</v>
      </c>
      <c r="E31">
        <v>16001</v>
      </c>
      <c r="I31">
        <v>16001006</v>
      </c>
      <c r="J31" t="s">
        <v>56</v>
      </c>
      <c r="K31">
        <v>100</v>
      </c>
      <c r="L31" t="s">
        <v>66</v>
      </c>
      <c r="M31">
        <v>16001</v>
      </c>
      <c r="P31">
        <f t="shared" si="5"/>
        <v>0</v>
      </c>
      <c r="Q31">
        <f t="shared" si="6"/>
        <v>0</v>
      </c>
      <c r="R31">
        <f t="shared" si="7"/>
        <v>0</v>
      </c>
      <c r="S31">
        <f t="shared" si="8"/>
        <v>0</v>
      </c>
      <c r="T31">
        <f t="shared" si="9"/>
        <v>0</v>
      </c>
    </row>
    <row r="32" spans="1:20">
      <c r="A32">
        <v>16001007</v>
      </c>
      <c r="B32" t="s">
        <v>56</v>
      </c>
      <c r="C32" t="s">
        <v>67</v>
      </c>
      <c r="D32" t="s">
        <v>68</v>
      </c>
      <c r="E32">
        <v>16001</v>
      </c>
      <c r="I32">
        <v>16001007</v>
      </c>
      <c r="J32" t="s">
        <v>56</v>
      </c>
      <c r="K32" t="s">
        <v>67</v>
      </c>
      <c r="L32" t="s">
        <v>68</v>
      </c>
      <c r="M32">
        <v>16001</v>
      </c>
      <c r="P32">
        <f t="shared" si="5"/>
        <v>0</v>
      </c>
      <c r="Q32">
        <f t="shared" si="6"/>
        <v>0</v>
      </c>
      <c r="R32">
        <f t="shared" si="7"/>
        <v>0</v>
      </c>
      <c r="S32">
        <f t="shared" si="8"/>
        <v>0</v>
      </c>
      <c r="T32">
        <f t="shared" si="9"/>
        <v>0</v>
      </c>
    </row>
    <row r="33" spans="1:20">
      <c r="A33">
        <v>16001008</v>
      </c>
      <c r="B33" t="s">
        <v>56</v>
      </c>
      <c r="C33" t="s">
        <v>69</v>
      </c>
      <c r="D33" t="s">
        <v>70</v>
      </c>
      <c r="E33">
        <v>16001</v>
      </c>
      <c r="I33">
        <v>16001008</v>
      </c>
      <c r="J33" t="s">
        <v>56</v>
      </c>
      <c r="K33" t="s">
        <v>69</v>
      </c>
      <c r="L33" t="s">
        <v>70</v>
      </c>
      <c r="M33">
        <v>16001</v>
      </c>
      <c r="P33">
        <f t="shared" si="5"/>
        <v>0</v>
      </c>
      <c r="Q33">
        <f t="shared" si="6"/>
        <v>0</v>
      </c>
      <c r="R33">
        <f t="shared" si="7"/>
        <v>0</v>
      </c>
      <c r="S33">
        <f t="shared" si="8"/>
        <v>0</v>
      </c>
      <c r="T33">
        <f t="shared" si="9"/>
        <v>0</v>
      </c>
    </row>
    <row r="34" spans="1:20">
      <c r="A34">
        <v>16001009</v>
      </c>
      <c r="B34" t="s">
        <v>56</v>
      </c>
      <c r="C34" t="s">
        <v>71</v>
      </c>
      <c r="D34" t="s">
        <v>72</v>
      </c>
      <c r="E34">
        <v>16001</v>
      </c>
      <c r="I34">
        <v>16001009</v>
      </c>
      <c r="J34" t="s">
        <v>56</v>
      </c>
      <c r="K34" t="s">
        <v>71</v>
      </c>
      <c r="L34" t="s">
        <v>72</v>
      </c>
      <c r="M34">
        <v>16001</v>
      </c>
      <c r="P34">
        <f t="shared" si="5"/>
        <v>0</v>
      </c>
      <c r="Q34">
        <f t="shared" si="6"/>
        <v>0</v>
      </c>
      <c r="R34">
        <f t="shared" si="7"/>
        <v>0</v>
      </c>
      <c r="S34">
        <f t="shared" si="8"/>
        <v>0</v>
      </c>
      <c r="T34">
        <f t="shared" si="9"/>
        <v>0</v>
      </c>
    </row>
    <row r="35" spans="1:20">
      <c r="A35">
        <v>16001010</v>
      </c>
      <c r="B35" t="s">
        <v>56</v>
      </c>
      <c r="C35" t="s">
        <v>73</v>
      </c>
      <c r="D35" t="s">
        <v>74</v>
      </c>
      <c r="E35">
        <v>16001</v>
      </c>
      <c r="I35">
        <v>16001010</v>
      </c>
      <c r="J35" t="s">
        <v>56</v>
      </c>
      <c r="K35" t="s">
        <v>73</v>
      </c>
      <c r="L35" t="s">
        <v>74</v>
      </c>
      <c r="M35">
        <v>16001</v>
      </c>
      <c r="P35">
        <f t="shared" si="5"/>
        <v>0</v>
      </c>
      <c r="Q35">
        <f t="shared" si="6"/>
        <v>0</v>
      </c>
      <c r="R35">
        <f t="shared" si="7"/>
        <v>0</v>
      </c>
      <c r="S35">
        <f t="shared" si="8"/>
        <v>0</v>
      </c>
      <c r="T35">
        <f t="shared" si="9"/>
        <v>0</v>
      </c>
    </row>
    <row r="36" spans="1:20">
      <c r="A36">
        <v>16001011</v>
      </c>
      <c r="B36" t="s">
        <v>56</v>
      </c>
      <c r="C36" t="s">
        <v>75</v>
      </c>
      <c r="D36" t="s">
        <v>76</v>
      </c>
      <c r="E36">
        <v>16001</v>
      </c>
      <c r="I36">
        <v>16001011</v>
      </c>
      <c r="J36" t="s">
        <v>56</v>
      </c>
      <c r="K36" t="s">
        <v>75</v>
      </c>
      <c r="L36" t="s">
        <v>76</v>
      </c>
      <c r="M36">
        <v>16001</v>
      </c>
      <c r="P36">
        <f t="shared" si="5"/>
        <v>0</v>
      </c>
      <c r="Q36">
        <f t="shared" si="6"/>
        <v>0</v>
      </c>
      <c r="R36">
        <f t="shared" si="7"/>
        <v>0</v>
      </c>
      <c r="S36">
        <f t="shared" si="8"/>
        <v>0</v>
      </c>
      <c r="T36">
        <f t="shared" si="9"/>
        <v>0</v>
      </c>
    </row>
    <row r="37" spans="1:20">
      <c r="A37">
        <v>16001012</v>
      </c>
      <c r="B37" t="s">
        <v>56</v>
      </c>
      <c r="C37">
        <v>30</v>
      </c>
      <c r="D37" t="s">
        <v>77</v>
      </c>
      <c r="E37">
        <v>16001</v>
      </c>
      <c r="I37">
        <v>16001012</v>
      </c>
      <c r="J37" t="s">
        <v>56</v>
      </c>
      <c r="K37">
        <v>30</v>
      </c>
      <c r="L37" t="s">
        <v>77</v>
      </c>
      <c r="M37">
        <v>16001</v>
      </c>
      <c r="P37">
        <f t="shared" si="5"/>
        <v>0</v>
      </c>
      <c r="Q37">
        <f t="shared" si="6"/>
        <v>0</v>
      </c>
      <c r="R37">
        <f t="shared" si="7"/>
        <v>0</v>
      </c>
      <c r="S37">
        <f t="shared" si="8"/>
        <v>0</v>
      </c>
      <c r="T37">
        <f t="shared" si="9"/>
        <v>0</v>
      </c>
    </row>
    <row r="38" spans="1:20">
      <c r="A38">
        <v>16001013</v>
      </c>
      <c r="B38" t="s">
        <v>56</v>
      </c>
      <c r="C38" t="s">
        <v>78</v>
      </c>
      <c r="D38" t="s">
        <v>79</v>
      </c>
      <c r="E38">
        <v>16001</v>
      </c>
      <c r="I38">
        <v>16001013</v>
      </c>
      <c r="J38" t="s">
        <v>56</v>
      </c>
      <c r="K38" t="s">
        <v>78</v>
      </c>
      <c r="L38" t="s">
        <v>79</v>
      </c>
      <c r="M38">
        <v>16001</v>
      </c>
      <c r="P38">
        <f t="shared" si="5"/>
        <v>0</v>
      </c>
      <c r="Q38">
        <f t="shared" si="6"/>
        <v>0</v>
      </c>
      <c r="R38">
        <f t="shared" si="7"/>
        <v>0</v>
      </c>
      <c r="S38">
        <f t="shared" si="8"/>
        <v>0</v>
      </c>
      <c r="T38">
        <f t="shared" si="9"/>
        <v>0</v>
      </c>
    </row>
    <row r="39" spans="1:20">
      <c r="A39">
        <v>16001014</v>
      </c>
      <c r="B39" t="s">
        <v>56</v>
      </c>
      <c r="C39" t="s">
        <v>142</v>
      </c>
      <c r="D39" t="s">
        <v>81</v>
      </c>
      <c r="E39">
        <v>16001</v>
      </c>
      <c r="I39">
        <v>16001014</v>
      </c>
      <c r="J39" t="s">
        <v>56</v>
      </c>
      <c r="K39" t="s">
        <v>135</v>
      </c>
      <c r="L39" t="s">
        <v>81</v>
      </c>
      <c r="M39">
        <v>16001</v>
      </c>
      <c r="P39">
        <f t="shared" si="5"/>
        <v>0</v>
      </c>
      <c r="Q39">
        <f t="shared" si="6"/>
        <v>0</v>
      </c>
      <c r="R39">
        <f t="shared" si="7"/>
        <v>1</v>
      </c>
      <c r="S39">
        <f t="shared" si="8"/>
        <v>0</v>
      </c>
      <c r="T39">
        <f t="shared" si="9"/>
        <v>0</v>
      </c>
    </row>
    <row r="40" spans="1:20">
      <c r="A40">
        <v>16001015</v>
      </c>
      <c r="B40" t="s">
        <v>56</v>
      </c>
      <c r="C40" t="s">
        <v>143</v>
      </c>
      <c r="D40" t="s">
        <v>83</v>
      </c>
      <c r="E40">
        <v>16001</v>
      </c>
      <c r="I40">
        <v>16001015</v>
      </c>
      <c r="J40" t="s">
        <v>56</v>
      </c>
      <c r="K40" t="s">
        <v>136</v>
      </c>
      <c r="L40" t="s">
        <v>83</v>
      </c>
      <c r="M40">
        <v>16001</v>
      </c>
      <c r="P40">
        <f t="shared" si="5"/>
        <v>0</v>
      </c>
      <c r="Q40">
        <f t="shared" si="6"/>
        <v>0</v>
      </c>
      <c r="R40">
        <f t="shared" si="7"/>
        <v>1</v>
      </c>
      <c r="S40">
        <f t="shared" si="8"/>
        <v>0</v>
      </c>
      <c r="T40">
        <f t="shared" si="9"/>
        <v>0</v>
      </c>
    </row>
    <row r="41" spans="1:20">
      <c r="A41">
        <v>16001016</v>
      </c>
      <c r="B41" t="s">
        <v>56</v>
      </c>
      <c r="C41" t="s">
        <v>144</v>
      </c>
      <c r="D41" t="s">
        <v>84</v>
      </c>
      <c r="E41">
        <v>16001</v>
      </c>
      <c r="I41">
        <v>16001016</v>
      </c>
      <c r="J41" t="s">
        <v>56</v>
      </c>
      <c r="K41" t="s">
        <v>137</v>
      </c>
      <c r="L41" t="s">
        <v>84</v>
      </c>
      <c r="M41">
        <v>16001</v>
      </c>
      <c r="P41">
        <f t="shared" si="5"/>
        <v>0</v>
      </c>
      <c r="Q41">
        <f t="shared" si="6"/>
        <v>0</v>
      </c>
      <c r="R41">
        <f t="shared" si="7"/>
        <v>1</v>
      </c>
      <c r="S41">
        <f t="shared" si="8"/>
        <v>0</v>
      </c>
      <c r="T41">
        <f t="shared" si="9"/>
        <v>0</v>
      </c>
    </row>
    <row r="42" spans="1:20">
      <c r="A42">
        <v>16001017</v>
      </c>
      <c r="B42" t="s">
        <v>56</v>
      </c>
      <c r="C42" t="s">
        <v>138</v>
      </c>
      <c r="D42" t="s">
        <v>85</v>
      </c>
      <c r="E42">
        <v>16001</v>
      </c>
      <c r="I42">
        <v>16001017</v>
      </c>
      <c r="J42" t="s">
        <v>56</v>
      </c>
      <c r="K42" t="s">
        <v>138</v>
      </c>
      <c r="L42" t="s">
        <v>85</v>
      </c>
      <c r="M42">
        <v>16001</v>
      </c>
      <c r="P42">
        <f t="shared" si="5"/>
        <v>0</v>
      </c>
      <c r="Q42">
        <f t="shared" si="6"/>
        <v>0</v>
      </c>
      <c r="R42">
        <f t="shared" si="7"/>
        <v>0</v>
      </c>
      <c r="S42">
        <f t="shared" si="8"/>
        <v>0</v>
      </c>
      <c r="T42">
        <f t="shared" si="9"/>
        <v>0</v>
      </c>
    </row>
    <row r="43" spans="1:20">
      <c r="A43">
        <v>16001018</v>
      </c>
      <c r="B43" t="s">
        <v>56</v>
      </c>
      <c r="C43" t="s">
        <v>86</v>
      </c>
      <c r="D43" t="s">
        <v>87</v>
      </c>
      <c r="E43">
        <v>16001</v>
      </c>
      <c r="I43">
        <v>16001018</v>
      </c>
      <c r="J43" t="s">
        <v>56</v>
      </c>
      <c r="K43" t="s">
        <v>86</v>
      </c>
      <c r="L43" t="s">
        <v>87</v>
      </c>
      <c r="M43">
        <v>16001</v>
      </c>
      <c r="P43">
        <f t="shared" si="5"/>
        <v>0</v>
      </c>
      <c r="Q43">
        <f t="shared" si="6"/>
        <v>0</v>
      </c>
      <c r="R43">
        <f t="shared" si="7"/>
        <v>0</v>
      </c>
      <c r="S43">
        <f t="shared" si="8"/>
        <v>0</v>
      </c>
      <c r="T43">
        <f t="shared" si="9"/>
        <v>0</v>
      </c>
    </row>
    <row r="44" spans="1:20">
      <c r="A44">
        <v>16001019</v>
      </c>
      <c r="B44" t="s">
        <v>56</v>
      </c>
      <c r="C44" t="s">
        <v>88</v>
      </c>
      <c r="D44" t="s">
        <v>89</v>
      </c>
      <c r="E44">
        <v>16001</v>
      </c>
      <c r="I44">
        <v>16001019</v>
      </c>
      <c r="J44" t="s">
        <v>56</v>
      </c>
      <c r="K44" t="s">
        <v>88</v>
      </c>
      <c r="L44" t="s">
        <v>89</v>
      </c>
      <c r="M44">
        <v>16001</v>
      </c>
      <c r="P44">
        <f t="shared" si="5"/>
        <v>0</v>
      </c>
      <c r="Q44">
        <f t="shared" si="6"/>
        <v>0</v>
      </c>
      <c r="R44">
        <f t="shared" si="7"/>
        <v>0</v>
      </c>
      <c r="S44">
        <f t="shared" si="8"/>
        <v>0</v>
      </c>
      <c r="T44">
        <f t="shared" si="9"/>
        <v>0</v>
      </c>
    </row>
    <row r="45" spans="1:20">
      <c r="A45">
        <v>16001020</v>
      </c>
      <c r="B45" t="s">
        <v>56</v>
      </c>
      <c r="C45">
        <v>300</v>
      </c>
      <c r="D45" t="s">
        <v>90</v>
      </c>
      <c r="E45">
        <v>16001</v>
      </c>
      <c r="I45">
        <v>16001020</v>
      </c>
      <c r="J45" t="s">
        <v>56</v>
      </c>
      <c r="K45">
        <v>300</v>
      </c>
      <c r="L45" t="s">
        <v>90</v>
      </c>
      <c r="M45">
        <v>16001</v>
      </c>
      <c r="P45">
        <f t="shared" si="5"/>
        <v>0</v>
      </c>
      <c r="Q45">
        <f t="shared" si="6"/>
        <v>0</v>
      </c>
      <c r="R45">
        <f t="shared" si="7"/>
        <v>0</v>
      </c>
      <c r="S45">
        <f t="shared" si="8"/>
        <v>0</v>
      </c>
      <c r="T45">
        <f t="shared" si="9"/>
        <v>0</v>
      </c>
    </row>
    <row r="46" spans="1:20">
      <c r="A46">
        <v>16001021</v>
      </c>
      <c r="B46" t="s">
        <v>56</v>
      </c>
      <c r="C46" t="s">
        <v>91</v>
      </c>
      <c r="D46" t="s">
        <v>92</v>
      </c>
      <c r="E46">
        <v>16001</v>
      </c>
      <c r="I46">
        <v>16001021</v>
      </c>
      <c r="J46" t="s">
        <v>56</v>
      </c>
      <c r="K46" t="s">
        <v>91</v>
      </c>
      <c r="L46" t="s">
        <v>92</v>
      </c>
      <c r="M46">
        <v>16001</v>
      </c>
      <c r="P46">
        <f t="shared" si="5"/>
        <v>0</v>
      </c>
      <c r="Q46">
        <f t="shared" si="6"/>
        <v>0</v>
      </c>
      <c r="R46">
        <f t="shared" si="7"/>
        <v>0</v>
      </c>
      <c r="S46">
        <f t="shared" si="8"/>
        <v>0</v>
      </c>
      <c r="T46">
        <f t="shared" si="9"/>
        <v>0</v>
      </c>
    </row>
    <row r="47" spans="1:20">
      <c r="A47">
        <v>16001022</v>
      </c>
      <c r="B47" t="s">
        <v>56</v>
      </c>
      <c r="C47">
        <v>1</v>
      </c>
      <c r="D47" t="s">
        <v>93</v>
      </c>
      <c r="E47">
        <v>16001</v>
      </c>
      <c r="I47">
        <v>16001022</v>
      </c>
      <c r="J47" t="s">
        <v>56</v>
      </c>
      <c r="K47">
        <v>1</v>
      </c>
      <c r="L47" t="s">
        <v>93</v>
      </c>
      <c r="M47">
        <v>16001</v>
      </c>
      <c r="P47">
        <f t="shared" si="5"/>
        <v>0</v>
      </c>
      <c r="Q47">
        <f t="shared" si="6"/>
        <v>0</v>
      </c>
      <c r="R47">
        <f t="shared" si="7"/>
        <v>0</v>
      </c>
      <c r="S47">
        <f t="shared" si="8"/>
        <v>0</v>
      </c>
      <c r="T47">
        <f t="shared" si="9"/>
        <v>0</v>
      </c>
    </row>
    <row r="48" spans="1:20">
      <c r="A48">
        <v>16001023</v>
      </c>
      <c r="B48" t="s">
        <v>56</v>
      </c>
      <c r="C48">
        <v>10</v>
      </c>
      <c r="D48" t="s">
        <v>94</v>
      </c>
      <c r="E48">
        <v>16001</v>
      </c>
      <c r="I48">
        <v>16001023</v>
      </c>
      <c r="J48" t="s">
        <v>56</v>
      </c>
      <c r="K48">
        <v>10</v>
      </c>
      <c r="L48" t="s">
        <v>94</v>
      </c>
      <c r="M48">
        <v>16001</v>
      </c>
      <c r="P48">
        <f t="shared" si="5"/>
        <v>0</v>
      </c>
      <c r="Q48">
        <f t="shared" si="6"/>
        <v>0</v>
      </c>
      <c r="R48">
        <f t="shared" si="7"/>
        <v>0</v>
      </c>
      <c r="S48">
        <f t="shared" si="8"/>
        <v>0</v>
      </c>
      <c r="T48">
        <f t="shared" si="9"/>
        <v>0</v>
      </c>
    </row>
    <row r="49" spans="1:20">
      <c r="A49">
        <v>16001024</v>
      </c>
      <c r="B49" t="s">
        <v>56</v>
      </c>
      <c r="C49">
        <v>6000</v>
      </c>
      <c r="D49" t="s">
        <v>95</v>
      </c>
      <c r="E49">
        <v>16001</v>
      </c>
      <c r="I49">
        <v>16001024</v>
      </c>
      <c r="J49" t="s">
        <v>56</v>
      </c>
      <c r="K49">
        <v>6000</v>
      </c>
      <c r="L49" t="s">
        <v>95</v>
      </c>
      <c r="M49">
        <v>16001</v>
      </c>
      <c r="P49">
        <f t="shared" si="5"/>
        <v>0</v>
      </c>
      <c r="Q49">
        <f t="shared" si="6"/>
        <v>0</v>
      </c>
      <c r="R49">
        <f t="shared" si="7"/>
        <v>0</v>
      </c>
      <c r="S49">
        <f t="shared" si="8"/>
        <v>0</v>
      </c>
      <c r="T49">
        <f t="shared" si="9"/>
        <v>0</v>
      </c>
    </row>
    <row r="50" spans="1:20">
      <c r="A50">
        <v>16001025</v>
      </c>
      <c r="B50" t="s">
        <v>56</v>
      </c>
      <c r="C50">
        <v>60</v>
      </c>
      <c r="D50" t="s">
        <v>96</v>
      </c>
      <c r="E50">
        <v>16001</v>
      </c>
      <c r="I50">
        <v>16001025</v>
      </c>
      <c r="J50" t="s">
        <v>56</v>
      </c>
      <c r="K50">
        <v>60</v>
      </c>
      <c r="L50" t="s">
        <v>96</v>
      </c>
      <c r="M50">
        <v>16001</v>
      </c>
      <c r="P50">
        <f t="shared" si="5"/>
        <v>0</v>
      </c>
      <c r="Q50">
        <f t="shared" si="6"/>
        <v>0</v>
      </c>
      <c r="R50">
        <f t="shared" si="7"/>
        <v>0</v>
      </c>
      <c r="S50">
        <f t="shared" si="8"/>
        <v>0</v>
      </c>
      <c r="T50">
        <f t="shared" si="9"/>
        <v>0</v>
      </c>
    </row>
    <row r="51" spans="1:20">
      <c r="A51">
        <v>16001026</v>
      </c>
      <c r="B51" t="s">
        <v>56</v>
      </c>
      <c r="C51">
        <v>1</v>
      </c>
      <c r="D51" t="s">
        <v>97</v>
      </c>
      <c r="E51">
        <v>16001</v>
      </c>
      <c r="I51">
        <v>16001026</v>
      </c>
      <c r="J51" t="s">
        <v>56</v>
      </c>
      <c r="K51">
        <v>1</v>
      </c>
      <c r="L51" t="s">
        <v>97</v>
      </c>
      <c r="M51">
        <v>16001</v>
      </c>
      <c r="P51">
        <f t="shared" si="5"/>
        <v>0</v>
      </c>
      <c r="Q51">
        <f t="shared" si="6"/>
        <v>0</v>
      </c>
      <c r="R51">
        <f t="shared" si="7"/>
        <v>0</v>
      </c>
      <c r="S51">
        <f t="shared" si="8"/>
        <v>0</v>
      </c>
      <c r="T51">
        <f t="shared" si="9"/>
        <v>0</v>
      </c>
    </row>
    <row r="52" spans="1:20">
      <c r="I52">
        <v>17001001</v>
      </c>
      <c r="J52" t="s">
        <v>98</v>
      </c>
      <c r="K52" t="s">
        <v>99</v>
      </c>
      <c r="L52" t="s">
        <v>100</v>
      </c>
      <c r="M52">
        <v>17001</v>
      </c>
      <c r="P52">
        <f t="shared" si="5"/>
        <v>1</v>
      </c>
      <c r="Q52">
        <f t="shared" si="6"/>
        <v>1</v>
      </c>
      <c r="R52">
        <f t="shared" si="7"/>
        <v>1</v>
      </c>
      <c r="S52">
        <f t="shared" si="8"/>
        <v>1</v>
      </c>
      <c r="T52">
        <f t="shared" si="9"/>
        <v>1</v>
      </c>
    </row>
    <row r="53" spans="1:20">
      <c r="I53">
        <v>18001001</v>
      </c>
      <c r="J53" t="s">
        <v>101</v>
      </c>
      <c r="K53">
        <v>1</v>
      </c>
      <c r="L53" t="s">
        <v>102</v>
      </c>
      <c r="M53">
        <v>18001</v>
      </c>
      <c r="P53">
        <f t="shared" si="5"/>
        <v>1</v>
      </c>
      <c r="Q53">
        <f t="shared" si="6"/>
        <v>1</v>
      </c>
      <c r="R53">
        <f t="shared" si="7"/>
        <v>1</v>
      </c>
      <c r="S53">
        <f t="shared" si="8"/>
        <v>1</v>
      </c>
      <c r="T53">
        <f t="shared" si="9"/>
        <v>1</v>
      </c>
    </row>
    <row r="54" spans="1:20">
      <c r="I54">
        <v>18001002</v>
      </c>
      <c r="J54" t="s">
        <v>101</v>
      </c>
      <c r="K54">
        <v>2</v>
      </c>
      <c r="L54" t="s">
        <v>103</v>
      </c>
      <c r="M54">
        <v>18001</v>
      </c>
      <c r="P54">
        <f t="shared" si="5"/>
        <v>1</v>
      </c>
      <c r="Q54">
        <f t="shared" si="6"/>
        <v>1</v>
      </c>
      <c r="R54">
        <f t="shared" si="7"/>
        <v>1</v>
      </c>
      <c r="S54">
        <f t="shared" si="8"/>
        <v>1</v>
      </c>
      <c r="T54">
        <f t="shared" si="9"/>
        <v>1</v>
      </c>
    </row>
    <row r="55" spans="1:20">
      <c r="I55">
        <v>18001003</v>
      </c>
      <c r="J55" t="s">
        <v>101</v>
      </c>
      <c r="K55">
        <v>1</v>
      </c>
      <c r="L55" t="s">
        <v>104</v>
      </c>
      <c r="M55">
        <v>18001</v>
      </c>
      <c r="P55">
        <f t="shared" ref="P55:P77" si="10">IF(I55=A55,0,1)</f>
        <v>1</v>
      </c>
      <c r="Q55">
        <f t="shared" ref="Q55:Q77" si="11">IF(J55=B55,0,1)</f>
        <v>1</v>
      </c>
      <c r="R55">
        <f t="shared" ref="R55:R77" si="12">IF(K55=C55,0,1)</f>
        <v>1</v>
      </c>
      <c r="S55">
        <f t="shared" ref="S55:S77" si="13">IF(L55=D55,0,1)</f>
        <v>1</v>
      </c>
      <c r="T55">
        <f t="shared" ref="T55:T77" si="14">IF(M55=E55,0,1)</f>
        <v>1</v>
      </c>
    </row>
    <row r="56" spans="1:20">
      <c r="I56">
        <v>19001001</v>
      </c>
      <c r="J56" t="s">
        <v>105</v>
      </c>
      <c r="K56">
        <v>50010011</v>
      </c>
      <c r="L56" t="s">
        <v>106</v>
      </c>
      <c r="M56">
        <v>19001</v>
      </c>
      <c r="P56">
        <f t="shared" si="10"/>
        <v>1</v>
      </c>
      <c r="Q56">
        <f t="shared" si="11"/>
        <v>1</v>
      </c>
      <c r="R56">
        <f t="shared" si="12"/>
        <v>1</v>
      </c>
      <c r="S56">
        <f t="shared" si="13"/>
        <v>1</v>
      </c>
      <c r="T56">
        <f t="shared" si="14"/>
        <v>1</v>
      </c>
    </row>
    <row r="57" spans="1:20">
      <c r="I57">
        <v>19001002</v>
      </c>
      <c r="J57" t="s">
        <v>105</v>
      </c>
      <c r="K57">
        <v>10</v>
      </c>
      <c r="L57" t="s">
        <v>107</v>
      </c>
      <c r="M57">
        <v>19001</v>
      </c>
      <c r="P57">
        <f t="shared" si="10"/>
        <v>1</v>
      </c>
      <c r="Q57">
        <f t="shared" si="11"/>
        <v>1</v>
      </c>
      <c r="R57">
        <f t="shared" si="12"/>
        <v>1</v>
      </c>
      <c r="S57">
        <f t="shared" si="13"/>
        <v>1</v>
      </c>
      <c r="T57">
        <f t="shared" si="14"/>
        <v>1</v>
      </c>
    </row>
    <row r="58" spans="1:20">
      <c r="I58">
        <v>19001003</v>
      </c>
      <c r="J58" t="s">
        <v>105</v>
      </c>
      <c r="K58" t="s">
        <v>108</v>
      </c>
      <c r="L58" t="s">
        <v>109</v>
      </c>
      <c r="M58">
        <v>19001</v>
      </c>
      <c r="P58">
        <f t="shared" si="10"/>
        <v>1</v>
      </c>
      <c r="Q58">
        <f t="shared" si="11"/>
        <v>1</v>
      </c>
      <c r="R58">
        <f t="shared" si="12"/>
        <v>1</v>
      </c>
      <c r="S58">
        <f t="shared" si="13"/>
        <v>1</v>
      </c>
      <c r="T58">
        <f t="shared" si="14"/>
        <v>1</v>
      </c>
    </row>
    <row r="59" spans="1:20">
      <c r="I59">
        <v>19001004</v>
      </c>
      <c r="J59" t="s">
        <v>105</v>
      </c>
      <c r="K59">
        <v>10</v>
      </c>
      <c r="L59" t="s">
        <v>110</v>
      </c>
      <c r="M59">
        <v>19001</v>
      </c>
      <c r="P59">
        <f t="shared" si="10"/>
        <v>1</v>
      </c>
      <c r="Q59">
        <f t="shared" si="11"/>
        <v>1</v>
      </c>
      <c r="R59">
        <f t="shared" si="12"/>
        <v>1</v>
      </c>
      <c r="S59">
        <f t="shared" si="13"/>
        <v>1</v>
      </c>
      <c r="T59">
        <f t="shared" si="14"/>
        <v>1</v>
      </c>
    </row>
    <row r="60" spans="1:20">
      <c r="I60">
        <v>19001005</v>
      </c>
      <c r="J60" t="s">
        <v>105</v>
      </c>
      <c r="K60" t="s">
        <v>111</v>
      </c>
      <c r="L60" t="s">
        <v>112</v>
      </c>
      <c r="M60">
        <v>19001</v>
      </c>
      <c r="P60">
        <f t="shared" si="10"/>
        <v>1</v>
      </c>
      <c r="Q60">
        <f t="shared" si="11"/>
        <v>1</v>
      </c>
      <c r="R60">
        <f t="shared" si="12"/>
        <v>1</v>
      </c>
      <c r="S60">
        <f t="shared" si="13"/>
        <v>1</v>
      </c>
      <c r="T60">
        <f t="shared" si="14"/>
        <v>1</v>
      </c>
    </row>
    <row r="61" spans="1:20">
      <c r="I61">
        <v>19001006</v>
      </c>
      <c r="J61" t="s">
        <v>105</v>
      </c>
      <c r="K61" t="s">
        <v>113</v>
      </c>
      <c r="L61" t="s">
        <v>114</v>
      </c>
      <c r="M61">
        <v>19001</v>
      </c>
      <c r="P61">
        <f t="shared" si="10"/>
        <v>1</v>
      </c>
      <c r="Q61">
        <f t="shared" si="11"/>
        <v>1</v>
      </c>
      <c r="R61">
        <f t="shared" si="12"/>
        <v>1</v>
      </c>
      <c r="S61">
        <f t="shared" si="13"/>
        <v>1</v>
      </c>
      <c r="T61">
        <f t="shared" si="14"/>
        <v>1</v>
      </c>
    </row>
    <row r="62" spans="1:20">
      <c r="A62">
        <v>21001001</v>
      </c>
      <c r="B62" t="s">
        <v>115</v>
      </c>
      <c r="C62" t="s">
        <v>116</v>
      </c>
      <c r="D62" t="s">
        <v>117</v>
      </c>
      <c r="E62">
        <v>21001</v>
      </c>
      <c r="I62">
        <v>21001001</v>
      </c>
      <c r="J62" t="s">
        <v>115</v>
      </c>
      <c r="K62" t="s">
        <v>116</v>
      </c>
      <c r="L62" t="s">
        <v>117</v>
      </c>
      <c r="M62">
        <v>21001</v>
      </c>
      <c r="P62">
        <f t="shared" si="10"/>
        <v>0</v>
      </c>
      <c r="Q62">
        <f t="shared" si="11"/>
        <v>0</v>
      </c>
      <c r="R62">
        <f t="shared" si="12"/>
        <v>0</v>
      </c>
      <c r="S62">
        <f t="shared" si="13"/>
        <v>0</v>
      </c>
      <c r="T62">
        <f t="shared" si="14"/>
        <v>0</v>
      </c>
    </row>
    <row r="63" spans="1:20">
      <c r="A63">
        <v>21001002</v>
      </c>
      <c r="B63" t="s">
        <v>115</v>
      </c>
      <c r="C63">
        <v>2000</v>
      </c>
      <c r="D63" t="s">
        <v>118</v>
      </c>
      <c r="E63">
        <v>21001</v>
      </c>
      <c r="I63">
        <v>21001002</v>
      </c>
      <c r="J63" t="s">
        <v>115</v>
      </c>
      <c r="K63">
        <v>2000</v>
      </c>
      <c r="L63" t="s">
        <v>118</v>
      </c>
      <c r="M63">
        <v>21001</v>
      </c>
      <c r="P63">
        <f t="shared" si="10"/>
        <v>0</v>
      </c>
      <c r="Q63">
        <f t="shared" si="11"/>
        <v>0</v>
      </c>
      <c r="R63">
        <f t="shared" si="12"/>
        <v>0</v>
      </c>
      <c r="S63">
        <f t="shared" si="13"/>
        <v>0</v>
      </c>
      <c r="T63">
        <f t="shared" si="14"/>
        <v>0</v>
      </c>
    </row>
    <row r="64" spans="1:20">
      <c r="A64">
        <v>21001003</v>
      </c>
      <c r="B64" t="s">
        <v>115</v>
      </c>
      <c r="C64" t="s">
        <v>145</v>
      </c>
      <c r="D64" t="s">
        <v>146</v>
      </c>
      <c r="E64">
        <v>21001</v>
      </c>
      <c r="I64">
        <v>21001003</v>
      </c>
      <c r="J64" t="s">
        <v>115</v>
      </c>
      <c r="K64" t="s">
        <v>119</v>
      </c>
      <c r="L64" t="s">
        <v>146</v>
      </c>
      <c r="M64">
        <v>21001</v>
      </c>
      <c r="P64">
        <f t="shared" si="10"/>
        <v>0</v>
      </c>
      <c r="Q64">
        <f t="shared" si="11"/>
        <v>0</v>
      </c>
      <c r="R64">
        <f t="shared" si="12"/>
        <v>1</v>
      </c>
      <c r="S64">
        <f t="shared" si="13"/>
        <v>0</v>
      </c>
      <c r="T64">
        <f t="shared" si="14"/>
        <v>0</v>
      </c>
    </row>
    <row r="65" spans="1:20">
      <c r="A65">
        <v>21001004</v>
      </c>
      <c r="B65" t="s">
        <v>115</v>
      </c>
      <c r="C65">
        <v>2000</v>
      </c>
      <c r="D65" t="s">
        <v>121</v>
      </c>
      <c r="E65">
        <v>21001</v>
      </c>
      <c r="I65">
        <v>21001004</v>
      </c>
      <c r="J65" t="s">
        <v>115</v>
      </c>
      <c r="K65">
        <v>2000</v>
      </c>
      <c r="L65" t="s">
        <v>121</v>
      </c>
      <c r="M65">
        <v>21001</v>
      </c>
      <c r="P65">
        <f t="shared" si="10"/>
        <v>0</v>
      </c>
      <c r="Q65">
        <f t="shared" si="11"/>
        <v>0</v>
      </c>
      <c r="R65">
        <f t="shared" si="12"/>
        <v>0</v>
      </c>
      <c r="S65">
        <f t="shared" si="13"/>
        <v>0</v>
      </c>
      <c r="T65">
        <f t="shared" si="14"/>
        <v>0</v>
      </c>
    </row>
    <row r="66" spans="1:20">
      <c r="A66">
        <v>21001005</v>
      </c>
      <c r="B66" t="s">
        <v>115</v>
      </c>
      <c r="C66">
        <v>21600006</v>
      </c>
      <c r="D66" t="s">
        <v>122</v>
      </c>
      <c r="E66">
        <v>21001</v>
      </c>
      <c r="I66">
        <v>21001005</v>
      </c>
      <c r="J66" t="s">
        <v>115</v>
      </c>
      <c r="K66">
        <v>21600006</v>
      </c>
      <c r="L66" t="s">
        <v>122</v>
      </c>
      <c r="M66">
        <v>21001</v>
      </c>
      <c r="P66">
        <f t="shared" si="10"/>
        <v>0</v>
      </c>
      <c r="Q66">
        <f t="shared" si="11"/>
        <v>0</v>
      </c>
      <c r="R66">
        <f t="shared" si="12"/>
        <v>0</v>
      </c>
      <c r="S66">
        <f t="shared" si="13"/>
        <v>0</v>
      </c>
      <c r="T66">
        <f t="shared" si="14"/>
        <v>0</v>
      </c>
    </row>
    <row r="67" spans="1:20">
      <c r="A67">
        <v>21001006</v>
      </c>
      <c r="B67" t="s">
        <v>115</v>
      </c>
      <c r="C67" t="s">
        <v>123</v>
      </c>
      <c r="D67" t="s">
        <v>124</v>
      </c>
      <c r="E67">
        <v>21001</v>
      </c>
      <c r="I67">
        <v>21001006</v>
      </c>
      <c r="J67" t="s">
        <v>115</v>
      </c>
      <c r="K67" t="s">
        <v>123</v>
      </c>
      <c r="L67" t="s">
        <v>124</v>
      </c>
      <c r="M67">
        <v>21001</v>
      </c>
      <c r="P67">
        <f t="shared" si="10"/>
        <v>0</v>
      </c>
      <c r="Q67">
        <f t="shared" si="11"/>
        <v>0</v>
      </c>
      <c r="R67">
        <f t="shared" si="12"/>
        <v>0</v>
      </c>
      <c r="S67">
        <f t="shared" si="13"/>
        <v>0</v>
      </c>
      <c r="T67">
        <f t="shared" si="14"/>
        <v>0</v>
      </c>
    </row>
    <row r="68" spans="1:20">
      <c r="A68">
        <v>21001007</v>
      </c>
      <c r="B68" t="s">
        <v>115</v>
      </c>
      <c r="C68">
        <v>3</v>
      </c>
      <c r="D68" t="s">
        <v>125</v>
      </c>
      <c r="E68">
        <v>21001</v>
      </c>
      <c r="I68">
        <v>21001007</v>
      </c>
      <c r="J68" t="s">
        <v>115</v>
      </c>
      <c r="K68">
        <v>3</v>
      </c>
      <c r="L68" t="s">
        <v>125</v>
      </c>
      <c r="M68">
        <v>21001</v>
      </c>
      <c r="P68">
        <f t="shared" si="10"/>
        <v>0</v>
      </c>
      <c r="Q68">
        <f t="shared" si="11"/>
        <v>0</v>
      </c>
      <c r="R68">
        <f t="shared" si="12"/>
        <v>0</v>
      </c>
      <c r="S68">
        <f t="shared" si="13"/>
        <v>0</v>
      </c>
      <c r="T68">
        <f t="shared" si="14"/>
        <v>0</v>
      </c>
    </row>
    <row r="69" spans="1:20">
      <c r="A69">
        <v>21001008</v>
      </c>
      <c r="B69" t="s">
        <v>115</v>
      </c>
      <c r="C69" t="s">
        <v>147</v>
      </c>
      <c r="D69" t="s">
        <v>148</v>
      </c>
      <c r="E69">
        <v>21001</v>
      </c>
      <c r="I69">
        <v>21001008</v>
      </c>
      <c r="J69" t="s">
        <v>115</v>
      </c>
      <c r="K69" t="s">
        <v>147</v>
      </c>
      <c r="L69" t="s">
        <v>148</v>
      </c>
      <c r="M69">
        <v>21001</v>
      </c>
      <c r="P69">
        <f t="shared" si="10"/>
        <v>0</v>
      </c>
      <c r="Q69">
        <f t="shared" si="11"/>
        <v>0</v>
      </c>
      <c r="R69">
        <f t="shared" si="12"/>
        <v>0</v>
      </c>
      <c r="S69">
        <f t="shared" si="13"/>
        <v>0</v>
      </c>
      <c r="T69">
        <f t="shared" si="14"/>
        <v>0</v>
      </c>
    </row>
    <row r="70" spans="1:20">
      <c r="A70" t="s">
        <v>128</v>
      </c>
      <c r="B70" t="s">
        <v>129</v>
      </c>
      <c r="C70">
        <v>10</v>
      </c>
      <c r="D70" t="s">
        <v>130</v>
      </c>
      <c r="E70" t="s">
        <v>131</v>
      </c>
      <c r="I70" t="s">
        <v>128</v>
      </c>
      <c r="J70" t="s">
        <v>129</v>
      </c>
      <c r="K70">
        <v>10</v>
      </c>
      <c r="L70" t="s">
        <v>130</v>
      </c>
      <c r="M70" t="s">
        <v>131</v>
      </c>
      <c r="P70">
        <f t="shared" si="10"/>
        <v>0</v>
      </c>
      <c r="Q70">
        <f t="shared" si="11"/>
        <v>0</v>
      </c>
      <c r="R70">
        <f t="shared" si="12"/>
        <v>0</v>
      </c>
      <c r="S70">
        <f t="shared" si="13"/>
        <v>0</v>
      </c>
      <c r="T70">
        <f t="shared" si="14"/>
        <v>0</v>
      </c>
    </row>
    <row r="71" spans="1:20">
      <c r="P71">
        <f t="shared" si="10"/>
        <v>0</v>
      </c>
      <c r="Q71">
        <f t="shared" si="11"/>
        <v>0</v>
      </c>
      <c r="R71">
        <f t="shared" si="12"/>
        <v>0</v>
      </c>
      <c r="S71">
        <f t="shared" si="13"/>
        <v>0</v>
      </c>
      <c r="T71">
        <f t="shared" si="14"/>
        <v>0</v>
      </c>
    </row>
    <row r="72" spans="1:20">
      <c r="P72">
        <f t="shared" si="10"/>
        <v>0</v>
      </c>
      <c r="Q72">
        <f t="shared" si="11"/>
        <v>0</v>
      </c>
      <c r="R72">
        <f t="shared" si="12"/>
        <v>0</v>
      </c>
      <c r="S72">
        <f t="shared" si="13"/>
        <v>0</v>
      </c>
      <c r="T72">
        <f t="shared" si="14"/>
        <v>0</v>
      </c>
    </row>
    <row r="73" spans="1:20">
      <c r="P73">
        <f t="shared" si="10"/>
        <v>0</v>
      </c>
      <c r="Q73">
        <f t="shared" si="11"/>
        <v>0</v>
      </c>
      <c r="R73">
        <f t="shared" si="12"/>
        <v>0</v>
      </c>
      <c r="S73">
        <f t="shared" si="13"/>
        <v>0</v>
      </c>
      <c r="T73">
        <f t="shared" si="14"/>
        <v>0</v>
      </c>
    </row>
    <row r="74" spans="1:20">
      <c r="P74">
        <f t="shared" si="10"/>
        <v>0</v>
      </c>
      <c r="Q74">
        <f t="shared" si="11"/>
        <v>0</v>
      </c>
      <c r="R74">
        <f t="shared" si="12"/>
        <v>0</v>
      </c>
      <c r="S74">
        <f t="shared" si="13"/>
        <v>0</v>
      </c>
      <c r="T74">
        <f t="shared" si="14"/>
        <v>0</v>
      </c>
    </row>
    <row r="75" spans="1:20">
      <c r="P75">
        <f t="shared" si="10"/>
        <v>0</v>
      </c>
      <c r="Q75">
        <f t="shared" si="11"/>
        <v>0</v>
      </c>
      <c r="R75">
        <f t="shared" si="12"/>
        <v>0</v>
      </c>
      <c r="S75">
        <f t="shared" si="13"/>
        <v>0</v>
      </c>
      <c r="T75">
        <f t="shared" si="14"/>
        <v>0</v>
      </c>
    </row>
    <row r="76" spans="1:20">
      <c r="P76">
        <f t="shared" si="10"/>
        <v>0</v>
      </c>
      <c r="Q76">
        <f t="shared" si="11"/>
        <v>0</v>
      </c>
      <c r="R76">
        <f t="shared" si="12"/>
        <v>0</v>
      </c>
      <c r="S76">
        <f t="shared" si="13"/>
        <v>0</v>
      </c>
      <c r="T76">
        <f t="shared" si="14"/>
        <v>0</v>
      </c>
    </row>
    <row r="77" spans="1:20">
      <c r="P77">
        <f t="shared" si="10"/>
        <v>0</v>
      </c>
      <c r="Q77">
        <f t="shared" si="11"/>
        <v>0</v>
      </c>
      <c r="R77">
        <f t="shared" si="12"/>
        <v>0</v>
      </c>
      <c r="S77">
        <f t="shared" si="13"/>
        <v>0</v>
      </c>
      <c r="T77">
        <f t="shared" si="14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cfg_repGlobal</vt:lpstr>
      <vt:lpstr>参照表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2024-08-06T09:10:00Z</dcterms:created>
  <dcterms:modified xsi:type="dcterms:W3CDTF">2026-07-29T03:35:57Z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C9D52AF5750E49129D549AA47FDAAD36_12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