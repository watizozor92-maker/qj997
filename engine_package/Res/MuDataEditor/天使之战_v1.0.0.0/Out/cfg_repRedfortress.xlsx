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repRedfortress" sheetId="1" r:id="rId1"/>
    <sheet name="Sheet1" sheetId="2" r:id="rId2"/>
    <sheet name="参照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<sst xmlns="http://schemas.openxmlformats.org/spreadsheetml/2006/main" count="545" uniqueCount="81">
  <si>
    <t>id</t>
  </si>
  <si>
    <t>活动名称</t>
  </si>
  <si>
    <t>副本ID</t>
  </si>
  <si>
    <t>地图中单位最大数量</t>
  </si>
  <si>
    <t>怪物id</t>
  </si>
  <si>
    <t>变身怪物ID</t>
  </si>
  <si>
    <t>获得积分</t>
  </si>
  <si>
    <t>复活次数</t>
  </si>
  <si>
    <t>复活时间</t>
  </si>
  <si>
    <t>复活后获得buff</t>
  </si>
  <si>
    <t>准备区</t>
  </si>
  <si>
    <t>初始战斗区域</t>
  </si>
  <si>
    <t>地图减少</t>
  </si>
  <si>
    <t>地图减少预计时间</t>
  </si>
  <si>
    <t>活动奖励</t>
  </si>
  <si>
    <t>地图中容纳单位的最大数量
活动开始生成怪物数量=本字段值-玩家数量</t>
  </si>
  <si>
    <t>活动内生成的怪物
格式：怪物id#怪物id#怪物id
对应职业外表为 职业1#职业2#职业3 以此类推</t>
  </si>
  <si>
    <t>用于各职业进入的伪装的模型外表
格式：怪物id#怪物id#怪物id
对应职业外表为 职业1#职业2#职业3 以此类推</t>
  </si>
  <si>
    <t>击杀角色获得积分#击杀怪物获得积分</t>
  </si>
  <si>
    <t>玩家与怪物死亡后的复活次数</t>
  </si>
  <si>
    <t>玩家与怪物死亡后的复活时间（单位：秒）</t>
  </si>
  <si>
    <t>填写cfg_buff表id，玩家死亡复活后，自动获得该buff</t>
  </si>
  <si>
    <t>进入副本后，再该位置进行准备停留
x1,x2,y1,y2</t>
  </si>
  <si>
    <t>初次进入战斗区域时，传送的位置
x1,x2,y1,y2</t>
  </si>
  <si>
    <t>减少条件#减少量|减少条件#减少量
减少条件：玩家和怪物总数量
减少量：与正常地图大小对比，长宽减少的百分比
例：70#30|50#20|30#10为剩70人时地图长宽减少30%，剩50人时再减少原地图长宽大小的20%，剩30人时再减少原地图长宽大小的10%
注：减少量的数值加起来不可超过100</t>
  </si>
  <si>
    <t>和地图减少一一对应，减少时，提前X秒进行预警。</t>
  </si>
  <si>
    <t>获得奖励的普通掉落包
格式：名次上限#名次上限#道具id#道具数量#道具id#道具数量|
道具id引用cfg_item表id</t>
  </si>
  <si>
    <t>int#c#s</t>
  </si>
  <si>
    <t>string#c#s</t>
  </si>
  <si>
    <t>intList#c#s</t>
  </si>
  <si>
    <t>intListList#c#s</t>
  </si>
  <si>
    <t>name</t>
  </si>
  <si>
    <t>repId</t>
  </si>
  <si>
    <t>maxUnit</t>
  </si>
  <si>
    <t>monsterId</t>
  </si>
  <si>
    <t>transfiguration</t>
  </si>
  <si>
    <t>points</t>
  </si>
  <si>
    <t>rebornChance</t>
  </si>
  <si>
    <t>rebornTime</t>
  </si>
  <si>
    <t>buff</t>
  </si>
  <si>
    <t>ready</t>
  </si>
  <si>
    <t>start</t>
  </si>
  <si>
    <t>mapCut</t>
  </si>
  <si>
    <t>warning</t>
  </si>
  <si>
    <t>reward</t>
  </si>
  <si>
    <t>赤色要塞</t>
  </si>
  <si>
    <t>17001001#17001002#17001003#17001001#17001001#17001002</t>
  </si>
  <si>
    <t>44001#44002#44003#44001#44001#44002#44002</t>
  </si>
  <si>
    <t>5#1</t>
  </si>
  <si>
    <t>100#146#162#196</t>
  </si>
  <si>
    <t>193#219#78#115</t>
  </si>
  <si>
    <t>50#30|35#20|15#10</t>
  </si>
  <si>
    <t>5#5#5</t>
  </si>
  <si>
    <t>1#1#2100101#10|2#2#2100101#8|3#3#2100101#6|4#5#2100101#4|6#10#2100101#3|11#20#2100101#2|21#50#2100101#1|51#999#10010002#10000</t>
  </si>
  <si>
    <t>17002001#17002002#17002003#17002001#17002001#17002002</t>
  </si>
  <si>
    <t>17003001#17003002#17003003#17003001#17003001#17003002</t>
  </si>
  <si>
    <t>17004001#17004002#17004003#17004001#17004001#17004002</t>
  </si>
  <si>
    <t>17005001#17005002#17005003#17005001#17005001#17005002</t>
  </si>
  <si>
    <t>17006001#17006002#17006003#17006001#17006001#17006002</t>
  </si>
  <si>
    <t>17007001#17007002#17007003#17007001#17007001#17007002</t>
  </si>
  <si>
    <t>17008001#17008002#17008003#17008001#17008001#17008002</t>
  </si>
  <si>
    <t>17009001#17009002#17009003#17009001#17009001#17009002</t>
  </si>
  <si>
    <t>5</t>
  </si>
  <si>
    <t>56</t>
  </si>
  <si>
    <t>1#1#10020001#8000#40010901#4|2#2#10020001#6000#40010901#3|3#3#10020001#4000#40010901#2|4#10#10020001#3000#40010901#1|11#20#10020001#2000|21#50#10020001#1000|51#99#10020001#500</t>
  </si>
  <si>
    <t>1#1#10020001#12000#40010901#4|2#2#10020001#9000#40010901#3|3#3#10020001#6000#40010901#2|4#10#10020001#4500#40010901#1|11#20#10020001#3000|21#50#10020001#1500|51#99#10020001#750</t>
  </si>
  <si>
    <t>1</t>
  </si>
  <si>
    <t>2</t>
  </si>
  <si>
    <t>3</t>
  </si>
  <si>
    <t>4</t>
  </si>
  <si>
    <t>11</t>
  </si>
  <si>
    <t>21</t>
  </si>
  <si>
    <t>51</t>
  </si>
  <si>
    <t>10</t>
  </si>
  <si>
    <t>20</t>
  </si>
  <si>
    <t>50</t>
  </si>
  <si>
    <t>99</t>
  </si>
  <si>
    <t>10020001</t>
  </si>
  <si>
    <t>40010901</t>
  </si>
  <si>
    <t>44001#44002#44003#44001#44001#44002</t>
  </si>
  <si>
    <t>1#1#10020001#12000#40010901#6|2#2#10020001#9000#40010901#4|3#3#10020001#6000#40010901#3|4#10#10020001#4500#40010901#1|11#20#10020001#3000|21#50#10020001#1500|51#99#10020001#750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</si>
</sst>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color theme="1"/>
      <name val="微软雅黑"/>
      <charset val="134"/>
    </font>
    <font>
      <u/>
      <sz val="11"/>
      <name val="Calibri"/>
      <charset val="134"/>
    </font>
    <font>
      <u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/>
    <xf numFmtId="0" fontId="2" fillId="2" borderId="0" xfId="0" applyFont="1" applyFill="1" applyAlignment="1">
      <alignment horizontal="center"/>
    </xf>
    <xf numFmtId="0" fontId="3" fillId="0" borderId="0" xfId="0" applyNumberFormat="1" applyFont="1" applyAlignment="1"/>
    <xf numFmtId="0" fontId="4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"/>
  <sheetViews>
    <sheetView tabSelected="1" workbookViewId="0">
      <pane xSplit="2" ySplit="4" topLeftCell="E5" activePane="bottomRight" state="frozen"/>
      <selection/>
      <selection pane="topRight"/>
      <selection pane="bottomLeft"/>
      <selection pane="bottomRight" activeCell="F12" sqref="F12"/>
    </sheetView>
  </sheetViews>
  <sheetFormatPr defaultColWidth="9" defaultRowHeight="13.5"/>
  <cols>
    <col min="4" max="4" width="12.125" customWidth="1"/>
    <col min="5" max="5" width="52" customWidth="1"/>
    <col min="6" max="6" width="18.4333333333333" customWidth="1"/>
    <col min="11" max="12" width="16.125" customWidth="1"/>
    <col min="13" max="13" width="26.25" customWidth="1"/>
    <col min="14" max="14" width="14.0583333333333" customWidth="1"/>
    <col min="15" max="15" width="60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53.95" customHeight="1" spans="1:15"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>
      <c r="A3" t="s">
        <v>27</v>
      </c>
      <c r="B3" t="s">
        <v>28</v>
      </c>
      <c r="C3" t="s">
        <v>27</v>
      </c>
      <c r="D3" t="s">
        <v>27</v>
      </c>
      <c r="E3" t="s">
        <v>29</v>
      </c>
      <c r="F3" t="s">
        <v>29</v>
      </c>
      <c r="G3" t="s">
        <v>29</v>
      </c>
      <c r="H3" t="s">
        <v>27</v>
      </c>
      <c r="I3" t="s">
        <v>27</v>
      </c>
      <c r="J3" t="s">
        <v>27</v>
      </c>
      <c r="K3" t="s">
        <v>29</v>
      </c>
      <c r="L3" t="s">
        <v>29</v>
      </c>
      <c r="M3" t="s">
        <v>30</v>
      </c>
      <c r="N3" t="s">
        <v>29</v>
      </c>
      <c r="O3" t="s">
        <v>30</v>
      </c>
    </row>
    <row r="4" spans="1:15">
      <c r="A4" t="s">
        <v>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 customFormat="1" ht="15" spans="1:15">
      <c r="A5" s="4">
        <v>17001</v>
      </c>
      <c r="B5" s="5" t="s">
        <v>45</v>
      </c>
      <c r="C5" s="2">
        <v>17001</v>
      </c>
      <c r="D5" s="2">
        <v>100</v>
      </c>
      <c r="E5" s="2" t="s">
        <v>46</v>
      </c>
      <c r="F5" s="2" t="s">
        <v>47</v>
      </c>
      <c r="G5" s="2" t="s">
        <v>48</v>
      </c>
      <c r="H5" s="2">
        <v>3</v>
      </c>
      <c r="I5" s="2">
        <v>5</v>
      </c>
      <c r="J5" s="2">
        <v>56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53</v>
      </c>
    </row>
    <row r="6" customFormat="1" ht="15" spans="1:15">
      <c r="A6" s="4">
        <v>17002</v>
      </c>
      <c r="B6" s="5" t="s">
        <v>45</v>
      </c>
      <c r="C6" s="2">
        <v>17002</v>
      </c>
      <c r="D6" s="2">
        <v>100</v>
      </c>
      <c r="E6" s="2" t="s">
        <v>54</v>
      </c>
      <c r="F6" s="2" t="s">
        <v>47</v>
      </c>
      <c r="G6" s="2" t="s">
        <v>48</v>
      </c>
      <c r="H6" s="2">
        <v>3</v>
      </c>
      <c r="I6" s="2">
        <v>5</v>
      </c>
      <c r="J6" s="2">
        <v>56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53</v>
      </c>
    </row>
    <row r="7" customFormat="1" ht="15" spans="1:15">
      <c r="A7" s="4">
        <v>17003</v>
      </c>
      <c r="B7" s="5" t="s">
        <v>45</v>
      </c>
      <c r="C7" s="2">
        <v>17003</v>
      </c>
      <c r="D7" s="2">
        <v>100</v>
      </c>
      <c r="E7" s="2" t="s">
        <v>55</v>
      </c>
      <c r="F7" s="2" t="s">
        <v>47</v>
      </c>
      <c r="G7" s="2" t="s">
        <v>48</v>
      </c>
      <c r="H7" s="2">
        <v>3</v>
      </c>
      <c r="I7" s="2">
        <v>5</v>
      </c>
      <c r="J7" s="2">
        <v>56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53</v>
      </c>
    </row>
    <row r="8" customFormat="1" ht="15" spans="1:15">
      <c r="A8" s="4">
        <v>17004</v>
      </c>
      <c r="B8" s="5" t="s">
        <v>45</v>
      </c>
      <c r="C8" s="2">
        <v>17004</v>
      </c>
      <c r="D8" s="2">
        <v>100</v>
      </c>
      <c r="E8" s="2" t="s">
        <v>56</v>
      </c>
      <c r="F8" s="2" t="s">
        <v>47</v>
      </c>
      <c r="G8" s="2" t="s">
        <v>48</v>
      </c>
      <c r="H8" s="2">
        <v>3</v>
      </c>
      <c r="I8" s="2">
        <v>5</v>
      </c>
      <c r="J8" s="2">
        <v>56</v>
      </c>
      <c r="K8" s="2" t="s">
        <v>49</v>
      </c>
      <c r="L8" s="2" t="s">
        <v>50</v>
      </c>
      <c r="M8" s="2" t="s">
        <v>51</v>
      </c>
      <c r="N8" s="2" t="s">
        <v>52</v>
      </c>
      <c r="O8" s="2" t="s">
        <v>53</v>
      </c>
    </row>
    <row r="9" customFormat="1" ht="15" spans="1:15">
      <c r="A9" s="4">
        <v>17005</v>
      </c>
      <c r="B9" s="5" t="s">
        <v>45</v>
      </c>
      <c r="C9" s="2">
        <v>17005</v>
      </c>
      <c r="D9" s="2">
        <v>100</v>
      </c>
      <c r="E9" s="2" t="s">
        <v>57</v>
      </c>
      <c r="F9" s="2" t="s">
        <v>47</v>
      </c>
      <c r="G9" s="2" t="s">
        <v>48</v>
      </c>
      <c r="H9" s="2">
        <v>3</v>
      </c>
      <c r="I9" s="2">
        <v>5</v>
      </c>
      <c r="J9" s="2">
        <v>56</v>
      </c>
      <c r="K9" s="2" t="s">
        <v>49</v>
      </c>
      <c r="L9" s="2" t="s">
        <v>50</v>
      </c>
      <c r="M9" s="2" t="s">
        <v>51</v>
      </c>
      <c r="N9" s="2" t="s">
        <v>52</v>
      </c>
      <c r="O9" s="2" t="s">
        <v>53</v>
      </c>
    </row>
    <row r="10" customFormat="1" ht="15" spans="1:15">
      <c r="A10" s="4">
        <v>17006</v>
      </c>
      <c r="B10" s="5" t="s">
        <v>45</v>
      </c>
      <c r="C10" s="2">
        <v>17006</v>
      </c>
      <c r="D10" s="2">
        <v>100</v>
      </c>
      <c r="E10" s="2" t="s">
        <v>58</v>
      </c>
      <c r="F10" s="2" t="s">
        <v>47</v>
      </c>
      <c r="G10" s="2" t="s">
        <v>48</v>
      </c>
      <c r="H10" s="2">
        <v>3</v>
      </c>
      <c r="I10" s="2">
        <v>5</v>
      </c>
      <c r="J10" s="2">
        <v>56</v>
      </c>
      <c r="K10" s="2" t="s">
        <v>49</v>
      </c>
      <c r="L10" s="2" t="s">
        <v>50</v>
      </c>
      <c r="M10" s="2" t="s">
        <v>51</v>
      </c>
      <c r="N10" s="2" t="s">
        <v>52</v>
      </c>
      <c r="O10" s="2" t="s">
        <v>53</v>
      </c>
    </row>
    <row r="11" customFormat="1" ht="15" spans="1:15">
      <c r="A11" s="4">
        <v>17007</v>
      </c>
      <c r="B11" s="5" t="s">
        <v>45</v>
      </c>
      <c r="C11" s="2">
        <v>17007</v>
      </c>
      <c r="D11" s="2">
        <v>100</v>
      </c>
      <c r="E11" s="2" t="s">
        <v>59</v>
      </c>
      <c r="F11" s="2" t="s">
        <v>47</v>
      </c>
      <c r="G11" s="2" t="s">
        <v>48</v>
      </c>
      <c r="H11" s="2">
        <v>3</v>
      </c>
      <c r="I11" s="2">
        <v>5</v>
      </c>
      <c r="J11" s="2">
        <v>56</v>
      </c>
      <c r="K11" s="2" t="s">
        <v>49</v>
      </c>
      <c r="L11" s="2" t="s">
        <v>50</v>
      </c>
      <c r="M11" s="2" t="s">
        <v>51</v>
      </c>
      <c r="N11" s="2" t="s">
        <v>52</v>
      </c>
      <c r="O11" s="2" t="s">
        <v>53</v>
      </c>
    </row>
    <row r="12" customFormat="1" ht="15" spans="1:15">
      <c r="A12" s="4">
        <v>17008</v>
      </c>
      <c r="B12" s="5" t="s">
        <v>45</v>
      </c>
      <c r="C12" s="2">
        <v>17008</v>
      </c>
      <c r="D12" s="2">
        <v>100</v>
      </c>
      <c r="E12" s="2" t="s">
        <v>60</v>
      </c>
      <c r="F12" s="2" t="s">
        <v>47</v>
      </c>
      <c r="G12" s="2" t="s">
        <v>48</v>
      </c>
      <c r="H12" s="2">
        <v>3</v>
      </c>
      <c r="I12" s="2">
        <v>5</v>
      </c>
      <c r="J12" s="2">
        <v>56</v>
      </c>
      <c r="K12" s="2" t="s">
        <v>49</v>
      </c>
      <c r="L12" s="2" t="s">
        <v>50</v>
      </c>
      <c r="M12" s="2" t="s">
        <v>51</v>
      </c>
      <c r="N12" s="2" t="s">
        <v>52</v>
      </c>
      <c r="O12" s="2" t="s">
        <v>53</v>
      </c>
    </row>
    <row r="13" customFormat="1" ht="15" spans="1:15">
      <c r="A13" s="4">
        <v>17009</v>
      </c>
      <c r="B13" s="5" t="s">
        <v>45</v>
      </c>
      <c r="C13" s="2">
        <v>17009</v>
      </c>
      <c r="D13" s="2">
        <v>100</v>
      </c>
      <c r="E13" s="2" t="s">
        <v>61</v>
      </c>
      <c r="F13" s="2" t="s">
        <v>47</v>
      </c>
      <c r="G13" s="2" t="s">
        <v>48</v>
      </c>
      <c r="H13" s="2">
        <v>3</v>
      </c>
      <c r="I13" s="2">
        <v>5</v>
      </c>
      <c r="J13" s="2">
        <v>56</v>
      </c>
      <c r="K13" s="2" t="s">
        <v>49</v>
      </c>
      <c r="L13" s="2" t="s">
        <v>50</v>
      </c>
      <c r="M13" s="2" t="s">
        <v>51</v>
      </c>
      <c r="N13" s="2" t="s">
        <v>52</v>
      </c>
      <c r="O13" s="2" t="s">
        <v>53</v>
      </c>
    </row>
    <row r="14" customFormat="1" ht="15" spans="1:15">
      <c r="A14" s="2">
        <v>17010</v>
      </c>
      <c r="B14" s="2" t="s">
        <v>45</v>
      </c>
      <c r="C14" s="2">
        <v>17010</v>
      </c>
      <c r="D14" s="2">
        <v>100</v>
      </c>
      <c r="E14" s="2" t="s">
        <v>61</v>
      </c>
      <c r="F14" s="2" t="s">
        <v>47</v>
      </c>
      <c r="G14" s="2" t="s">
        <v>48</v>
      </c>
      <c r="H14" s="2">
        <v>3</v>
      </c>
      <c r="I14" s="2" t="s">
        <v>62</v>
      </c>
      <c r="J14" s="2" t="s">
        <v>63</v>
      </c>
      <c r="K14" s="2" t="s">
        <v>49</v>
      </c>
      <c r="L14" s="2" t="s">
        <v>50</v>
      </c>
      <c r="M14" s="2" t="s">
        <v>51</v>
      </c>
      <c r="N14" s="2" t="s">
        <v>52</v>
      </c>
      <c r="O14" s="2" t="s">
        <v>53</v>
      </c>
    </row>
    <row r="15" customFormat="1" ht="15" spans="1:15">
      <c r="A15" s="2">
        <v>17011</v>
      </c>
      <c r="B15" s="2" t="s">
        <v>45</v>
      </c>
      <c r="C15" s="2">
        <v>17011</v>
      </c>
      <c r="D15" s="2">
        <v>100</v>
      </c>
      <c r="E15" s="2" t="s">
        <v>61</v>
      </c>
      <c r="F15" s="2" t="s">
        <v>47</v>
      </c>
      <c r="G15" s="2" t="s">
        <v>48</v>
      </c>
      <c r="H15" s="2">
        <v>3</v>
      </c>
      <c r="I15" s="2" t="s">
        <v>62</v>
      </c>
      <c r="J15" s="2" t="s">
        <v>63</v>
      </c>
      <c r="K15" s="2" t="s">
        <v>49</v>
      </c>
      <c r="L15" s="2" t="s">
        <v>50</v>
      </c>
      <c r="M15" s="2" t="s">
        <v>51</v>
      </c>
      <c r="N15" s="2" t="s">
        <v>52</v>
      </c>
      <c r="O15" s="2" t="s">
        <v>53</v>
      </c>
    </row>
    <row r="16" customFormat="1" ht="15" spans="1:15">
      <c r="A16" s="2">
        <v>17012</v>
      </c>
      <c r="B16" s="2" t="s">
        <v>45</v>
      </c>
      <c r="C16" s="2">
        <v>17012</v>
      </c>
      <c r="D16" s="2">
        <v>100</v>
      </c>
      <c r="E16" s="2" t="s">
        <v>61</v>
      </c>
      <c r="F16" s="2" t="s">
        <v>47</v>
      </c>
      <c r="G16" s="2" t="s">
        <v>48</v>
      </c>
      <c r="H16" s="2">
        <v>3</v>
      </c>
      <c r="I16" s="2" t="s">
        <v>62</v>
      </c>
      <c r="J16" s="2" t="s">
        <v>63</v>
      </c>
      <c r="K16" s="2" t="s">
        <v>49</v>
      </c>
      <c r="L16" s="2" t="s">
        <v>50</v>
      </c>
      <c r="M16" s="2" t="s">
        <v>51</v>
      </c>
      <c r="N16" s="2" t="s">
        <v>52</v>
      </c>
      <c r="O16" s="2" t="s">
        <v>53</v>
      </c>
    </row>
    <row r="17" customFormat="1" ht="15" spans="1:15">
      <c r="A17" s="2">
        <v>17013</v>
      </c>
      <c r="B17" s="2" t="s">
        <v>45</v>
      </c>
      <c r="C17" s="2">
        <v>17013</v>
      </c>
      <c r="D17" s="2">
        <v>100</v>
      </c>
      <c r="E17" s="2" t="s">
        <v>61</v>
      </c>
      <c r="F17" s="2" t="s">
        <v>47</v>
      </c>
      <c r="G17" s="2" t="s">
        <v>48</v>
      </c>
      <c r="H17" s="2">
        <v>3</v>
      </c>
      <c r="I17" s="2" t="s">
        <v>62</v>
      </c>
      <c r="J17" s="2" t="s">
        <v>63</v>
      </c>
      <c r="K17" s="2" t="s">
        <v>49</v>
      </c>
      <c r="L17" s="2" t="s">
        <v>50</v>
      </c>
      <c r="M17" s="2" t="s">
        <v>51</v>
      </c>
      <c r="N17" s="2" t="s">
        <v>52</v>
      </c>
      <c r="O17" s="2" t="s">
        <v>53</v>
      </c>
    </row>
    <row r="18" customFormat="1" ht="15" spans="1:15">
      <c r="A18" s="2">
        <v>17014</v>
      </c>
      <c r="B18" s="2" t="s">
        <v>45</v>
      </c>
      <c r="C18" s="2">
        <v>17014</v>
      </c>
      <c r="D18" s="2">
        <v>100</v>
      </c>
      <c r="E18" s="2" t="s">
        <v>61</v>
      </c>
      <c r="F18" s="2" t="s">
        <v>47</v>
      </c>
      <c r="G18" s="2" t="s">
        <v>48</v>
      </c>
      <c r="H18" s="2">
        <v>3</v>
      </c>
      <c r="I18" s="2" t="s">
        <v>62</v>
      </c>
      <c r="J18" s="2" t="s">
        <v>63</v>
      </c>
      <c r="K18" s="2" t="s">
        <v>49</v>
      </c>
      <c r="L18" s="2" t="s">
        <v>50</v>
      </c>
      <c r="M18" s="2" t="s">
        <v>51</v>
      </c>
      <c r="N18" s="2" t="s">
        <v>52</v>
      </c>
      <c r="O18" s="2" t="s">
        <v>53</v>
      </c>
    </row>
    <row r="19" customFormat="1" ht="15" spans="1:15">
      <c r="A19" s="2">
        <v>17015</v>
      </c>
      <c r="B19" s="2" t="s">
        <v>45</v>
      </c>
      <c r="C19" s="2">
        <v>17015</v>
      </c>
      <c r="D19" s="2">
        <v>100</v>
      </c>
      <c r="E19" s="2" t="s">
        <v>61</v>
      </c>
      <c r="F19" s="2" t="s">
        <v>47</v>
      </c>
      <c r="G19" s="2" t="s">
        <v>48</v>
      </c>
      <c r="H19" s="2">
        <v>3</v>
      </c>
      <c r="I19" s="2" t="s">
        <v>62</v>
      </c>
      <c r="J19" s="2" t="s">
        <v>63</v>
      </c>
      <c r="K19" s="2" t="s">
        <v>49</v>
      </c>
      <c r="L19" s="2" t="s">
        <v>50</v>
      </c>
      <c r="M19" s="2" t="s">
        <v>51</v>
      </c>
      <c r="N19" s="2" t="s">
        <v>52</v>
      </c>
      <c r="O19" s="2" t="s">
        <v>53</v>
      </c>
    </row>
    <row r="20" customFormat="1" ht="15" spans="1:15">
      <c r="A20" s="2">
        <v>17016</v>
      </c>
      <c r="B20" s="2" t="s">
        <v>45</v>
      </c>
      <c r="C20" s="2">
        <v>17016</v>
      </c>
      <c r="D20" s="2">
        <v>100</v>
      </c>
      <c r="E20" s="2" t="s">
        <v>61</v>
      </c>
      <c r="F20" s="2" t="s">
        <v>47</v>
      </c>
      <c r="G20" s="2" t="s">
        <v>48</v>
      </c>
      <c r="H20" s="2">
        <v>3</v>
      </c>
      <c r="I20" s="2" t="s">
        <v>62</v>
      </c>
      <c r="J20" s="2" t="s">
        <v>63</v>
      </c>
      <c r="K20" s="2" t="s">
        <v>49</v>
      </c>
      <c r="L20" s="2" t="s">
        <v>50</v>
      </c>
      <c r="M20" s="2" t="s">
        <v>51</v>
      </c>
      <c r="N20" s="2" t="s">
        <v>52</v>
      </c>
      <c r="O20" s="2" t="s">
        <v>53</v>
      </c>
    </row>
    <row r="21" customFormat="1" ht="15" spans="1:15">
      <c r="A21" s="2">
        <v>17017</v>
      </c>
      <c r="B21" s="2" t="s">
        <v>45</v>
      </c>
      <c r="C21" s="2">
        <v>17017</v>
      </c>
      <c r="D21" s="2">
        <v>100</v>
      </c>
      <c r="E21" s="2" t="s">
        <v>61</v>
      </c>
      <c r="F21" s="2" t="s">
        <v>47</v>
      </c>
      <c r="G21" s="2" t="s">
        <v>48</v>
      </c>
      <c r="H21" s="2">
        <v>3</v>
      </c>
      <c r="I21" s="2" t="s">
        <v>62</v>
      </c>
      <c r="J21" s="2" t="s">
        <v>63</v>
      </c>
      <c r="K21" s="2" t="s">
        <v>49</v>
      </c>
      <c r="L21" s="2" t="s">
        <v>50</v>
      </c>
      <c r="M21" s="2" t="s">
        <v>51</v>
      </c>
      <c r="N21" s="2" t="s">
        <v>52</v>
      </c>
      <c r="O21" s="2" t="s">
        <v>53</v>
      </c>
    </row>
    <row r="22" customFormat="1" ht="15" spans="1:15">
      <c r="A22" s="2">
        <v>17018</v>
      </c>
      <c r="B22" s="2" t="s">
        <v>45</v>
      </c>
      <c r="C22" s="2">
        <v>17018</v>
      </c>
      <c r="D22" s="2">
        <v>100</v>
      </c>
      <c r="E22" s="2" t="s">
        <v>61</v>
      </c>
      <c r="F22" s="2" t="s">
        <v>47</v>
      </c>
      <c r="G22" s="2" t="s">
        <v>48</v>
      </c>
      <c r="H22" s="2">
        <v>3</v>
      </c>
      <c r="I22" s="2" t="s">
        <v>62</v>
      </c>
      <c r="J22" s="2" t="s">
        <v>63</v>
      </c>
      <c r="K22" s="2" t="s">
        <v>49</v>
      </c>
      <c r="L22" s="2" t="s">
        <v>50</v>
      </c>
      <c r="M22" s="2" t="s">
        <v>51</v>
      </c>
      <c r="N22" s="2" t="s">
        <v>52</v>
      </c>
      <c r="O22" s="2" t="s">
        <v>53</v>
      </c>
    </row>
    <row r="23" customFormat="1" ht="15" spans="1:15">
      <c r="A23" s="2">
        <v>17019</v>
      </c>
      <c r="B23" s="2" t="s">
        <v>45</v>
      </c>
      <c r="C23" s="2">
        <v>17019</v>
      </c>
      <c r="D23" s="2">
        <v>100</v>
      </c>
      <c r="E23" s="2" t="s">
        <v>61</v>
      </c>
      <c r="F23" s="2" t="s">
        <v>47</v>
      </c>
      <c r="G23" s="2" t="s">
        <v>48</v>
      </c>
      <c r="H23" s="2">
        <v>3</v>
      </c>
      <c r="I23" s="2" t="s">
        <v>62</v>
      </c>
      <c r="J23" s="2" t="s">
        <v>63</v>
      </c>
      <c r="K23" s="2" t="s">
        <v>49</v>
      </c>
      <c r="L23" s="2" t="s">
        <v>50</v>
      </c>
      <c r="M23" s="2" t="s">
        <v>51</v>
      </c>
      <c r="N23" s="2" t="s">
        <v>52</v>
      </c>
      <c r="O23" s="2" t="s">
        <v>53</v>
      </c>
    </row>
    <row r="24" customFormat="1" ht="15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zoomScale="85" zoomScaleNormal="85" workbookViewId="0">
      <selection activeCell="A2" sqref="A2"/>
    </sheetView>
  </sheetViews>
  <sheetFormatPr defaultColWidth="9" defaultRowHeight="13.5"/>
  <cols>
    <col min="1" max="1" width="170.625" customWidth="1"/>
    <col min="2" max="4" width="31.5" customWidth="1"/>
    <col min="5" max="5" width="32.625" customWidth="1"/>
    <col min="6" max="7" width="21.5" customWidth="1"/>
    <col min="8" max="8" width="20.375" customWidth="1"/>
    <col min="9" max="9" width="27.125" customWidth="1"/>
  </cols>
  <sheetData>
    <row r="1" ht="15" spans="1:9">
      <c r="A1" s="2" t="s">
        <v>64</v>
      </c>
      <c r="B1" t="str" cm="1">
        <f t="array" ref="B1:H1">_xlfn.TEXTSPLIT(A1,"|")</f>
        <v>1#1#10020001#8000#40010901#4</v>
      </c>
      <c r="C1" t="str">
        <v>2#2#10020001#6000#40010901#3</v>
      </c>
      <c r="D1" t="str">
        <v>3#3#10020001#4000#40010901#2</v>
      </c>
      <c r="E1" t="str">
        <v>4#10#10020001#3000#40010901#1</v>
      </c>
      <c r="F1" t="str">
        <v>11#20#10020001#2000</v>
      </c>
      <c r="G1" t="str">
        <v>21#50#10020001#1000</v>
      </c>
      <c r="H1" t="str">
        <v>51#99#10020001#500</v>
      </c>
    </row>
    <row r="2" ht="15" spans="1:9">
      <c r="A2" s="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 ht="15" spans="1:9">
      <c r="A3" s="2"/>
      <c r="B3" t="s">
        <v>66</v>
      </c>
      <c r="C3" t="s">
        <v>67</v>
      </c>
      <c r="D3" t="s">
        <v>68</v>
      </c>
      <c r="E3" t="s">
        <v>73</v>
      </c>
      <c r="F3" t="s">
        <v>74</v>
      </c>
      <c r="G3" t="s">
        <v>75</v>
      </c>
      <c r="H3" t="s">
        <v>76</v>
      </c>
    </row>
    <row r="4" ht="15" spans="1:9">
      <c r="A4" s="2"/>
      <c r="B4" t="s">
        <v>77</v>
      </c>
      <c r="C4" t="s">
        <v>77</v>
      </c>
      <c r="D4" t="s">
        <v>77</v>
      </c>
      <c r="E4" t="s">
        <v>77</v>
      </c>
      <c r="F4" t="s">
        <v>77</v>
      </c>
      <c r="G4" t="s">
        <v>77</v>
      </c>
      <c r="H4" t="s">
        <v>77</v>
      </c>
    </row>
    <row r="5" ht="16.5" spans="1:9">
      <c r="A5" s="2"/>
      <c r="B5" s="3">
        <v>12000</v>
      </c>
      <c r="C5" s="3">
        <v>9000</v>
      </c>
      <c r="D5" s="3">
        <v>6000</v>
      </c>
      <c r="E5" s="3">
        <v>4500</v>
      </c>
      <c r="F5" s="3">
        <v>3000</v>
      </c>
      <c r="G5" s="3">
        <v>1500</v>
      </c>
      <c r="H5" s="3">
        <v>750</v>
      </c>
    </row>
    <row r="6" ht="15" spans="1:9">
      <c r="A6" s="2"/>
      <c r="B6" t="s">
        <v>78</v>
      </c>
      <c r="C6" t="s">
        <v>78</v>
      </c>
      <c r="D6" t="s">
        <v>78</v>
      </c>
      <c r="E6" t="s">
        <v>78</v>
      </c>
    </row>
    <row r="7" ht="15" spans="1:9">
      <c r="A7" s="2"/>
      <c r="B7" t="s">
        <v>69</v>
      </c>
      <c r="C7" t="s">
        <v>68</v>
      </c>
      <c r="D7" t="s">
        <v>67</v>
      </c>
      <c r="E7" t="s">
        <v>66</v>
      </c>
    </row>
    <row r="8" ht="15" spans="1:9">
      <c r="A8" s="2"/>
      <c r="B8" t="str">
        <f>_xlfn.TEXTJOIN("#",TRUE,B2:B7)</f>
        <v>1#1#10020001#12000#40010901#4</v>
      </c>
      <c r="C8" t="str">
        <f t="shared" ref="C8:H8" si="0">_xlfn.TEXTJOIN("#",TRUE,C2:C7)</f>
        <v>2#2#10020001#9000#40010901#3</v>
      </c>
      <c r="D8" t="str">
        <f t="shared" si="0"/>
        <v>3#3#10020001#6000#40010901#2</v>
      </c>
      <c r="E8" t="str">
        <f t="shared" si="0"/>
        <v>4#10#10020001#4500#40010901#1</v>
      </c>
      <c r="F8" t="str">
        <f t="shared" si="0"/>
        <v>11#20#10020001#3000</v>
      </c>
      <c r="G8" t="str">
        <f t="shared" si="0"/>
        <v>21#50#10020001#1500</v>
      </c>
      <c r="H8" t="str">
        <f t="shared" si="0"/>
        <v>51#99#10020001#750</v>
      </c>
      <c r="I8" t="str">
        <f>_xlfn.TEXTJOIN("|",TRUE,B8:H8)</f>
        <v>1#1#10020001#12000#40010901#4|2#2#10020001#9000#40010901#3|3#3#10020001#6000#40010901#2|4#10#10020001#4500#40010901#1|11#20#10020001#3000|21#50#10020001#1500|51#99#10020001#750</v>
      </c>
    </row>
    <row r="9" ht="15" spans="1:9">
      <c r="A9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5"/>
  </sheetPr>
  <dimension ref="A1:O24"/>
  <sheetViews>
    <sheetView zoomScale="120" zoomScaleNormal="120" topLeftCell="A2" workbookViewId="0">
      <selection activeCell="A14" sqref="$A14:$XFD23"/>
    </sheetView>
  </sheetViews>
  <sheetFormatPr defaultColWidth="9" defaultRowHeight="13.5"/>
  <cols>
    <col min="4" max="4" width="12.125" customWidth="1"/>
    <col min="5" max="5" width="52" customWidth="1"/>
    <col min="6" max="6" width="18.4333333333333" customWidth="1"/>
    <col min="12" max="12" width="15.1083333333333" customWidth="1"/>
    <col min="13" max="13" width="26.25" customWidth="1"/>
    <col min="14" max="14" width="14.0583333333333" customWidth="1"/>
    <col min="15" max="15" width="60.833333333333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53.95" customHeight="1" spans="1:15"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>
      <c r="A3" t="s">
        <v>27</v>
      </c>
      <c r="B3" t="s">
        <v>28</v>
      </c>
      <c r="C3" t="s">
        <v>27</v>
      </c>
      <c r="D3" t="s">
        <v>27</v>
      </c>
      <c r="E3" t="s">
        <v>29</v>
      </c>
      <c r="F3" t="s">
        <v>29</v>
      </c>
      <c r="G3" t="s">
        <v>29</v>
      </c>
      <c r="H3" t="s">
        <v>27</v>
      </c>
      <c r="I3" t="s">
        <v>27</v>
      </c>
      <c r="J3" t="s">
        <v>27</v>
      </c>
      <c r="K3" t="s">
        <v>29</v>
      </c>
      <c r="L3" t="s">
        <v>29</v>
      </c>
      <c r="M3" t="s">
        <v>30</v>
      </c>
      <c r="N3" t="s">
        <v>29</v>
      </c>
      <c r="O3" t="s">
        <v>30</v>
      </c>
    </row>
    <row r="4" spans="1:15">
      <c r="A4" t="s">
        <v>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</row>
    <row r="5" customFormat="1" ht="15" spans="1:15">
      <c r="A5" s="2">
        <v>17001</v>
      </c>
      <c r="B5" s="2" t="s">
        <v>45</v>
      </c>
      <c r="C5" s="2">
        <v>17001</v>
      </c>
      <c r="D5" s="2">
        <v>100</v>
      </c>
      <c r="E5" s="2" t="s">
        <v>46</v>
      </c>
      <c r="F5" s="2" t="s">
        <v>79</v>
      </c>
      <c r="G5" s="2" t="s">
        <v>48</v>
      </c>
      <c r="H5" s="2">
        <v>3</v>
      </c>
      <c r="I5" s="2" t="s">
        <v>62</v>
      </c>
      <c r="J5" s="2" t="s">
        <v>63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80</v>
      </c>
    </row>
    <row r="6" customFormat="1" ht="15" spans="1:15">
      <c r="A6" s="2">
        <v>17002</v>
      </c>
      <c r="B6" s="2" t="s">
        <v>45</v>
      </c>
      <c r="C6" s="2">
        <v>17002</v>
      </c>
      <c r="D6" s="2">
        <v>100</v>
      </c>
      <c r="E6" s="2" t="s">
        <v>54</v>
      </c>
      <c r="F6" s="2" t="s">
        <v>79</v>
      </c>
      <c r="G6" s="2" t="s">
        <v>48</v>
      </c>
      <c r="H6" s="2">
        <v>3</v>
      </c>
      <c r="I6" s="2" t="s">
        <v>62</v>
      </c>
      <c r="J6" s="2" t="s">
        <v>63</v>
      </c>
      <c r="K6" s="2" t="s">
        <v>49</v>
      </c>
      <c r="L6" s="2" t="s">
        <v>50</v>
      </c>
      <c r="M6" s="2" t="s">
        <v>51</v>
      </c>
      <c r="N6" s="2" t="s">
        <v>52</v>
      </c>
      <c r="O6" s="2" t="s">
        <v>80</v>
      </c>
    </row>
    <row r="7" customFormat="1" ht="15" spans="1:15">
      <c r="A7" s="2">
        <v>17003</v>
      </c>
      <c r="B7" s="2" t="s">
        <v>45</v>
      </c>
      <c r="C7" s="2">
        <v>17003</v>
      </c>
      <c r="D7" s="2">
        <v>100</v>
      </c>
      <c r="E7" s="2" t="s">
        <v>55</v>
      </c>
      <c r="F7" s="2" t="s">
        <v>79</v>
      </c>
      <c r="G7" s="2" t="s">
        <v>48</v>
      </c>
      <c r="H7" s="2">
        <v>3</v>
      </c>
      <c r="I7" s="2" t="s">
        <v>62</v>
      </c>
      <c r="J7" s="2" t="s">
        <v>63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80</v>
      </c>
    </row>
    <row r="8" customFormat="1" ht="15" spans="1:15">
      <c r="A8" s="2">
        <v>17004</v>
      </c>
      <c r="B8" s="2" t="s">
        <v>45</v>
      </c>
      <c r="C8" s="2">
        <v>17004</v>
      </c>
      <c r="D8" s="2">
        <v>100</v>
      </c>
      <c r="E8" s="2" t="s">
        <v>56</v>
      </c>
      <c r="F8" s="2" t="s">
        <v>79</v>
      </c>
      <c r="G8" s="2" t="s">
        <v>48</v>
      </c>
      <c r="H8" s="2">
        <v>3</v>
      </c>
      <c r="I8" s="2" t="s">
        <v>62</v>
      </c>
      <c r="J8" s="2" t="s">
        <v>63</v>
      </c>
      <c r="K8" s="2" t="s">
        <v>49</v>
      </c>
      <c r="L8" s="2" t="s">
        <v>50</v>
      </c>
      <c r="M8" s="2" t="s">
        <v>51</v>
      </c>
      <c r="N8" s="2" t="s">
        <v>52</v>
      </c>
      <c r="O8" s="2" t="s">
        <v>80</v>
      </c>
    </row>
    <row r="9" customFormat="1" ht="15" spans="1:15">
      <c r="A9" s="2">
        <v>17005</v>
      </c>
      <c r="B9" s="2" t="s">
        <v>45</v>
      </c>
      <c r="C9" s="2">
        <v>17005</v>
      </c>
      <c r="D9" s="2">
        <v>100</v>
      </c>
      <c r="E9" s="2" t="s">
        <v>57</v>
      </c>
      <c r="F9" s="2" t="s">
        <v>79</v>
      </c>
      <c r="G9" s="2" t="s">
        <v>48</v>
      </c>
      <c r="H9" s="2">
        <v>3</v>
      </c>
      <c r="I9" s="2" t="s">
        <v>62</v>
      </c>
      <c r="J9" s="2" t="s">
        <v>63</v>
      </c>
      <c r="K9" s="2" t="s">
        <v>49</v>
      </c>
      <c r="L9" s="2" t="s">
        <v>50</v>
      </c>
      <c r="M9" s="2" t="s">
        <v>51</v>
      </c>
      <c r="N9" s="2" t="s">
        <v>52</v>
      </c>
      <c r="O9" s="2" t="s">
        <v>80</v>
      </c>
    </row>
    <row r="10" customFormat="1" ht="15" spans="1:15">
      <c r="A10" s="2">
        <v>17006</v>
      </c>
      <c r="B10" s="2" t="s">
        <v>45</v>
      </c>
      <c r="C10" s="2">
        <v>17006</v>
      </c>
      <c r="D10" s="2">
        <v>100</v>
      </c>
      <c r="E10" s="2" t="s">
        <v>58</v>
      </c>
      <c r="F10" s="2" t="s">
        <v>79</v>
      </c>
      <c r="G10" s="2" t="s">
        <v>48</v>
      </c>
      <c r="H10" s="2">
        <v>3</v>
      </c>
      <c r="I10" s="2" t="s">
        <v>62</v>
      </c>
      <c r="J10" s="2" t="s">
        <v>63</v>
      </c>
      <c r="K10" s="2" t="s">
        <v>49</v>
      </c>
      <c r="L10" s="2" t="s">
        <v>50</v>
      </c>
      <c r="M10" s="2" t="s">
        <v>51</v>
      </c>
      <c r="N10" s="2" t="s">
        <v>52</v>
      </c>
      <c r="O10" s="2" t="s">
        <v>80</v>
      </c>
    </row>
    <row r="11" customFormat="1" ht="15" spans="1:15">
      <c r="A11" s="2">
        <v>17007</v>
      </c>
      <c r="B11" s="2" t="s">
        <v>45</v>
      </c>
      <c r="C11" s="2">
        <v>17007</v>
      </c>
      <c r="D11" s="2">
        <v>100</v>
      </c>
      <c r="E11" s="2" t="s">
        <v>59</v>
      </c>
      <c r="F11" s="2" t="s">
        <v>79</v>
      </c>
      <c r="G11" s="2" t="s">
        <v>48</v>
      </c>
      <c r="H11" s="2">
        <v>3</v>
      </c>
      <c r="I11" s="2" t="s">
        <v>62</v>
      </c>
      <c r="J11" s="2" t="s">
        <v>63</v>
      </c>
      <c r="K11" s="2" t="s">
        <v>49</v>
      </c>
      <c r="L11" s="2" t="s">
        <v>50</v>
      </c>
      <c r="M11" s="2" t="s">
        <v>51</v>
      </c>
      <c r="N11" s="2" t="s">
        <v>52</v>
      </c>
      <c r="O11" s="2" t="s">
        <v>80</v>
      </c>
    </row>
    <row r="12" customFormat="1" ht="15" spans="1:15">
      <c r="A12" s="2">
        <v>17008</v>
      </c>
      <c r="B12" s="2" t="s">
        <v>45</v>
      </c>
      <c r="C12" s="2">
        <v>17008</v>
      </c>
      <c r="D12" s="2">
        <v>100</v>
      </c>
      <c r="E12" s="2" t="s">
        <v>60</v>
      </c>
      <c r="F12" s="2" t="s">
        <v>79</v>
      </c>
      <c r="G12" s="2" t="s">
        <v>48</v>
      </c>
      <c r="H12" s="2">
        <v>3</v>
      </c>
      <c r="I12" s="2" t="s">
        <v>62</v>
      </c>
      <c r="J12" s="2" t="s">
        <v>63</v>
      </c>
      <c r="K12" s="2" t="s">
        <v>49</v>
      </c>
      <c r="L12" s="2" t="s">
        <v>50</v>
      </c>
      <c r="M12" s="2" t="s">
        <v>51</v>
      </c>
      <c r="N12" s="2" t="s">
        <v>52</v>
      </c>
      <c r="O12" s="2" t="s">
        <v>80</v>
      </c>
    </row>
    <row r="13" customFormat="1" ht="15" spans="1:15">
      <c r="A13" s="2">
        <v>17009</v>
      </c>
      <c r="B13" s="2" t="s">
        <v>45</v>
      </c>
      <c r="C13" s="2">
        <v>17009</v>
      </c>
      <c r="D13" s="2">
        <v>100</v>
      </c>
      <c r="E13" s="2" t="s">
        <v>61</v>
      </c>
      <c r="F13" s="2" t="s">
        <v>79</v>
      </c>
      <c r="G13" s="2" t="s">
        <v>48</v>
      </c>
      <c r="H13" s="2">
        <v>3</v>
      </c>
      <c r="I13" s="2" t="s">
        <v>62</v>
      </c>
      <c r="J13" s="2" t="s">
        <v>63</v>
      </c>
      <c r="K13" s="2" t="s">
        <v>49</v>
      </c>
      <c r="L13" s="2" t="s">
        <v>50</v>
      </c>
      <c r="M13" s="2" t="s">
        <v>51</v>
      </c>
      <c r="N13" s="2" t="s">
        <v>52</v>
      </c>
      <c r="O13" s="2" t="s">
        <v>80</v>
      </c>
    </row>
    <row r="14" customFormat="1" ht="15" spans="1:15">
      <c r="A14" s="2">
        <v>17010</v>
      </c>
      <c r="B14" s="2" t="s">
        <v>45</v>
      </c>
      <c r="C14" s="2">
        <v>17010</v>
      </c>
      <c r="D14" s="2">
        <v>100</v>
      </c>
      <c r="E14" s="2" t="s">
        <v>61</v>
      </c>
      <c r="F14" s="2" t="s">
        <v>79</v>
      </c>
      <c r="G14" s="2" t="s">
        <v>48</v>
      </c>
      <c r="H14" s="2">
        <v>3</v>
      </c>
      <c r="I14" s="2" t="s">
        <v>62</v>
      </c>
      <c r="J14" s="2" t="s">
        <v>63</v>
      </c>
      <c r="K14" s="2" t="s">
        <v>49</v>
      </c>
      <c r="L14" s="2" t="s">
        <v>50</v>
      </c>
      <c r="M14" s="2" t="s">
        <v>51</v>
      </c>
      <c r="N14" s="2" t="s">
        <v>52</v>
      </c>
      <c r="O14" s="2" t="s">
        <v>80</v>
      </c>
    </row>
    <row r="15" customFormat="1" ht="15" spans="1:15">
      <c r="A15" s="2">
        <v>17011</v>
      </c>
      <c r="B15" s="2" t="s">
        <v>45</v>
      </c>
      <c r="C15" s="2">
        <v>17011</v>
      </c>
      <c r="D15" s="2">
        <v>100</v>
      </c>
      <c r="E15" s="2" t="s">
        <v>61</v>
      </c>
      <c r="F15" s="2" t="s">
        <v>79</v>
      </c>
      <c r="G15" s="2" t="s">
        <v>48</v>
      </c>
      <c r="H15" s="2">
        <v>3</v>
      </c>
      <c r="I15" s="2" t="s">
        <v>62</v>
      </c>
      <c r="J15" s="2" t="s">
        <v>63</v>
      </c>
      <c r="K15" s="2" t="s">
        <v>49</v>
      </c>
      <c r="L15" s="2" t="s">
        <v>50</v>
      </c>
      <c r="M15" s="2" t="s">
        <v>51</v>
      </c>
      <c r="N15" s="2" t="s">
        <v>52</v>
      </c>
      <c r="O15" s="2" t="s">
        <v>80</v>
      </c>
    </row>
    <row r="16" customFormat="1" ht="15" spans="1:15">
      <c r="A16" s="2">
        <v>17012</v>
      </c>
      <c r="B16" s="2" t="s">
        <v>45</v>
      </c>
      <c r="C16" s="2">
        <v>17012</v>
      </c>
      <c r="D16" s="2">
        <v>100</v>
      </c>
      <c r="E16" s="2" t="s">
        <v>61</v>
      </c>
      <c r="F16" s="2" t="s">
        <v>79</v>
      </c>
      <c r="G16" s="2" t="s">
        <v>48</v>
      </c>
      <c r="H16" s="2">
        <v>3</v>
      </c>
      <c r="I16" s="2" t="s">
        <v>62</v>
      </c>
      <c r="J16" s="2" t="s">
        <v>63</v>
      </c>
      <c r="K16" s="2" t="s">
        <v>49</v>
      </c>
      <c r="L16" s="2" t="s">
        <v>50</v>
      </c>
      <c r="M16" s="2" t="s">
        <v>51</v>
      </c>
      <c r="N16" s="2" t="s">
        <v>52</v>
      </c>
      <c r="O16" s="2" t="s">
        <v>80</v>
      </c>
    </row>
    <row r="17" customFormat="1" ht="15" spans="1:15">
      <c r="A17" s="2">
        <v>17013</v>
      </c>
      <c r="B17" s="2" t="s">
        <v>45</v>
      </c>
      <c r="C17" s="2">
        <v>17013</v>
      </c>
      <c r="D17" s="2">
        <v>100</v>
      </c>
      <c r="E17" s="2" t="s">
        <v>61</v>
      </c>
      <c r="F17" s="2" t="s">
        <v>79</v>
      </c>
      <c r="G17" s="2" t="s">
        <v>48</v>
      </c>
      <c r="H17" s="2">
        <v>3</v>
      </c>
      <c r="I17" s="2" t="s">
        <v>62</v>
      </c>
      <c r="J17" s="2" t="s">
        <v>63</v>
      </c>
      <c r="K17" s="2" t="s">
        <v>49</v>
      </c>
      <c r="L17" s="2" t="s">
        <v>50</v>
      </c>
      <c r="M17" s="2" t="s">
        <v>51</v>
      </c>
      <c r="N17" s="2" t="s">
        <v>52</v>
      </c>
      <c r="O17" s="2" t="s">
        <v>80</v>
      </c>
    </row>
    <row r="18" customFormat="1" ht="15" spans="1:15">
      <c r="A18" s="2">
        <v>17014</v>
      </c>
      <c r="B18" s="2" t="s">
        <v>45</v>
      </c>
      <c r="C18" s="2">
        <v>17014</v>
      </c>
      <c r="D18" s="2">
        <v>100</v>
      </c>
      <c r="E18" s="2" t="s">
        <v>61</v>
      </c>
      <c r="F18" s="2" t="s">
        <v>79</v>
      </c>
      <c r="G18" s="2" t="s">
        <v>48</v>
      </c>
      <c r="H18" s="2">
        <v>3</v>
      </c>
      <c r="I18" s="2" t="s">
        <v>62</v>
      </c>
      <c r="J18" s="2" t="s">
        <v>63</v>
      </c>
      <c r="K18" s="2" t="s">
        <v>49</v>
      </c>
      <c r="L18" s="2" t="s">
        <v>50</v>
      </c>
      <c r="M18" s="2" t="s">
        <v>51</v>
      </c>
      <c r="N18" s="2" t="s">
        <v>52</v>
      </c>
      <c r="O18" s="2" t="s">
        <v>80</v>
      </c>
    </row>
    <row r="19" customFormat="1" ht="15" spans="1:15">
      <c r="A19" s="2">
        <v>17015</v>
      </c>
      <c r="B19" s="2" t="s">
        <v>45</v>
      </c>
      <c r="C19" s="2">
        <v>17015</v>
      </c>
      <c r="D19" s="2">
        <v>100</v>
      </c>
      <c r="E19" s="2" t="s">
        <v>61</v>
      </c>
      <c r="F19" s="2" t="s">
        <v>79</v>
      </c>
      <c r="G19" s="2" t="s">
        <v>48</v>
      </c>
      <c r="H19" s="2">
        <v>3</v>
      </c>
      <c r="I19" s="2" t="s">
        <v>62</v>
      </c>
      <c r="J19" s="2" t="s">
        <v>63</v>
      </c>
      <c r="K19" s="2" t="s">
        <v>49</v>
      </c>
      <c r="L19" s="2" t="s">
        <v>50</v>
      </c>
      <c r="M19" s="2" t="s">
        <v>51</v>
      </c>
      <c r="N19" s="2" t="s">
        <v>52</v>
      </c>
      <c r="O19" s="2" t="s">
        <v>80</v>
      </c>
    </row>
    <row r="20" customFormat="1" ht="15" spans="1:15">
      <c r="A20" s="2">
        <v>17016</v>
      </c>
      <c r="B20" s="2" t="s">
        <v>45</v>
      </c>
      <c r="C20" s="2">
        <v>17016</v>
      </c>
      <c r="D20" s="2">
        <v>100</v>
      </c>
      <c r="E20" s="2" t="s">
        <v>61</v>
      </c>
      <c r="F20" s="2" t="s">
        <v>79</v>
      </c>
      <c r="G20" s="2" t="s">
        <v>48</v>
      </c>
      <c r="H20" s="2">
        <v>3</v>
      </c>
      <c r="I20" s="2" t="s">
        <v>62</v>
      </c>
      <c r="J20" s="2" t="s">
        <v>63</v>
      </c>
      <c r="K20" s="2" t="s">
        <v>49</v>
      </c>
      <c r="L20" s="2" t="s">
        <v>50</v>
      </c>
      <c r="M20" s="2" t="s">
        <v>51</v>
      </c>
      <c r="N20" s="2" t="s">
        <v>52</v>
      </c>
      <c r="O20" s="2" t="s">
        <v>80</v>
      </c>
    </row>
    <row r="21" customFormat="1" ht="15" spans="1:15">
      <c r="A21" s="2">
        <v>17017</v>
      </c>
      <c r="B21" s="2" t="s">
        <v>45</v>
      </c>
      <c r="C21" s="2">
        <v>17017</v>
      </c>
      <c r="D21" s="2">
        <v>100</v>
      </c>
      <c r="E21" s="2" t="s">
        <v>61</v>
      </c>
      <c r="F21" s="2" t="s">
        <v>79</v>
      </c>
      <c r="G21" s="2" t="s">
        <v>48</v>
      </c>
      <c r="H21" s="2">
        <v>3</v>
      </c>
      <c r="I21" s="2" t="s">
        <v>62</v>
      </c>
      <c r="J21" s="2" t="s">
        <v>63</v>
      </c>
      <c r="K21" s="2" t="s">
        <v>49</v>
      </c>
      <c r="L21" s="2" t="s">
        <v>50</v>
      </c>
      <c r="M21" s="2" t="s">
        <v>51</v>
      </c>
      <c r="N21" s="2" t="s">
        <v>52</v>
      </c>
      <c r="O21" s="2" t="s">
        <v>80</v>
      </c>
    </row>
    <row r="22" customFormat="1" ht="15" spans="1:15">
      <c r="A22" s="2">
        <v>17018</v>
      </c>
      <c r="B22" s="2" t="s">
        <v>45</v>
      </c>
      <c r="C22" s="2">
        <v>17018</v>
      </c>
      <c r="D22" s="2">
        <v>100</v>
      </c>
      <c r="E22" s="2" t="s">
        <v>61</v>
      </c>
      <c r="F22" s="2" t="s">
        <v>79</v>
      </c>
      <c r="G22" s="2" t="s">
        <v>48</v>
      </c>
      <c r="H22" s="2">
        <v>3</v>
      </c>
      <c r="I22" s="2" t="s">
        <v>62</v>
      </c>
      <c r="J22" s="2" t="s">
        <v>63</v>
      </c>
      <c r="K22" s="2" t="s">
        <v>49</v>
      </c>
      <c r="L22" s="2" t="s">
        <v>50</v>
      </c>
      <c r="M22" s="2" t="s">
        <v>51</v>
      </c>
      <c r="N22" s="2" t="s">
        <v>52</v>
      </c>
      <c r="O22" s="2" t="s">
        <v>80</v>
      </c>
    </row>
    <row r="23" customFormat="1" ht="15" spans="1:15">
      <c r="A23" s="2">
        <v>17019</v>
      </c>
      <c r="B23" s="2" t="s">
        <v>45</v>
      </c>
      <c r="C23" s="2">
        <v>17019</v>
      </c>
      <c r="D23" s="2">
        <v>100</v>
      </c>
      <c r="E23" s="2" t="s">
        <v>61</v>
      </c>
      <c r="F23" s="2" t="s">
        <v>79</v>
      </c>
      <c r="G23" s="2" t="s">
        <v>48</v>
      </c>
      <c r="H23" s="2">
        <v>3</v>
      </c>
      <c r="I23" s="2" t="s">
        <v>62</v>
      </c>
      <c r="J23" s="2" t="s">
        <v>63</v>
      </c>
      <c r="K23" s="2" t="s">
        <v>49</v>
      </c>
      <c r="L23" s="2" t="s">
        <v>50</v>
      </c>
      <c r="M23" s="2" t="s">
        <v>51</v>
      </c>
      <c r="N23" s="2" t="s">
        <v>52</v>
      </c>
      <c r="O23" s="2" t="s">
        <v>80</v>
      </c>
    </row>
    <row r="24" customFormat="1" ht="15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cfg_repRedfortress</vt:lpstr>
      <vt:lpstr>Sheet1</vt:lpstr>
      <vt:lpstr>参照表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白初一</cp:lastModifiedBy>
  <dcterms:created xsi:type="dcterms:W3CDTF">2022-08-12T07:08:00Z</dcterms:created>
  <dcterms:modified xsi:type="dcterms:W3CDTF">2026-03-30T05:51:06Z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7E89888296904C359715D4FEC1406136_13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