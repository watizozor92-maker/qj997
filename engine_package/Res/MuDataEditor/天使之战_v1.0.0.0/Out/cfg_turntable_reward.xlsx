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turntable_reward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<sst xmlns="http://schemas.openxmlformats.org/spreadsheetml/2006/main" count="308" uniqueCount="114">
  <si>
    <t>id</t>
  </si>
  <si>
    <t>奖池组</t>
  </si>
  <si>
    <t>备注</t>
  </si>
  <si>
    <t>奖池道具</t>
  </si>
  <si>
    <t>抽取权重</t>
  </si>
  <si>
    <t>可抽取次数</t>
  </si>
  <si>
    <t>道具解锁条件</t>
  </si>
  <si>
    <t>道具抽取次数限制</t>
  </si>
  <si>
    <t>保底循环</t>
  </si>
  <si>
    <t>奖励标签</t>
  </si>
  <si>
    <t>排列顺序</t>
  </si>
  <si>
    <t>唯一id</t>
  </si>
  <si>
    <t xml:space="preserve">其他抽卡系统调用卡池区分标识
</t>
  </si>
  <si>
    <t>策划看</t>
  </si>
  <si>
    <t>根职业ID（career表baseCareer字段）#道具ID#数量|根职业ID#道具ID#数量</t>
  </si>
  <si>
    <t>抽取权重，同一个奖池内统计计算</t>
  </si>
  <si>
    <t>可抽取次数
可抽取到奖励的次数控制，填999999代表无上限，填0或不填代表奖励不进入奖池</t>
  </si>
  <si>
    <t>道具是否进入奖池条件限制</t>
  </si>
  <si>
    <t>前多少抽必定不出，不填无限制</t>
  </si>
  <si>
    <t>每多少抽必出，若间隔区间内已经出了，则重新计数，100即为每第100抽出一次
（必出的那一次不计入下一轮计数）</t>
  </si>
  <si>
    <t>奖励标签
1=极品
2=稀有
不填为普通奖励
类型1有全服播报，对应string表id601</t>
  </si>
  <si>
    <t>排列顺序
从左上角第一个开始，顺时针排序</t>
  </si>
  <si>
    <t>int#c#s</t>
  </si>
  <si>
    <t>string</t>
  </si>
  <si>
    <t>intListList#c#s</t>
  </si>
  <si>
    <t>string#c#s</t>
  </si>
  <si>
    <t>int#s</t>
  </si>
  <si>
    <t>int#c</t>
  </si>
  <si>
    <t>group</t>
  </si>
  <si>
    <t>beizhu</t>
  </si>
  <si>
    <t>item</t>
  </si>
  <si>
    <t>weight</t>
  </si>
  <si>
    <t>num</t>
  </si>
  <si>
    <t>condition</t>
  </si>
  <si>
    <t>limit</t>
  </si>
  <si>
    <t>guarantees</t>
  </si>
  <si>
    <t>type</t>
  </si>
  <si>
    <t>order</t>
  </si>
  <si>
    <t>变身精华</t>
  </si>
  <si>
    <t>1#50010010#20|2#50010010#20|3#50010010#20</t>
  </si>
  <si>
    <t>耳环晶石</t>
  </si>
  <si>
    <t>1#50040074#10|2#50040074#10|3#50040074#10</t>
  </si>
  <si>
    <t>戒指晶石</t>
  </si>
  <si>
    <t>1#50040057#10|2#50040057#10|3#50040057#10</t>
  </si>
  <si>
    <t>项链晶石</t>
  </si>
  <si>
    <t>1#50040059#6|2#50040059#6|3#50040059#6</t>
  </si>
  <si>
    <t>定点传送卷轴</t>
  </si>
  <si>
    <t>1#60010002#10|2#60010002#10|3#60010002#10</t>
  </si>
  <si>
    <t>祝福宝石</t>
  </si>
  <si>
    <t>1#50030002#5|2#50030002#5|3#50030002#5</t>
  </si>
  <si>
    <t>灵魂宝石</t>
  </si>
  <si>
    <t>1#50030003#5|2#50030003#5|3#50030003#5</t>
  </si>
  <si>
    <t>翅膀强化石</t>
  </si>
  <si>
    <t>1#50040061#6|2#50040061#6|3#50040061#6</t>
  </si>
  <si>
    <t>戒指卓越石</t>
  </si>
  <si>
    <t>1#50040075#2|2#50040075#2|3#50040075#2</t>
  </si>
  <si>
    <t>耳环卓越石</t>
  </si>
  <si>
    <t>1#50040077#2|2#50040077#2|3#50040077#2</t>
  </si>
  <si>
    <t>项链卓越石</t>
  </si>
  <si>
    <t>1#50040076#2|2#50040076#2|3#50040076#2</t>
  </si>
  <si>
    <t>创造宝石</t>
  </si>
  <si>
    <t>1#50030005#1|2#50030005#1|3#50030005#1</t>
  </si>
  <si>
    <t>大天使经验加成药水（1天）</t>
  </si>
  <si>
    <t>1#30039702#1|2#30039702#1|3#30039702#1</t>
  </si>
  <si>
    <t>神鹰火种</t>
  </si>
  <si>
    <t>1#50040041#1|2#50040041#1|3#50040041#1</t>
  </si>
  <si>
    <t>天界突破石</t>
  </si>
  <si>
    <t>1#50040097#40|2#50040097#40|3#50040097#40</t>
  </si>
  <si>
    <t>星冥龙之魂</t>
  </si>
  <si>
    <t>1#21600030#1|2#21600030#1|3#21600030#1</t>
  </si>
  <si>
    <t>加鲁达之羽</t>
  </si>
  <si>
    <t>1#50040015#1|2#50040015#1|3#50040015#1</t>
  </si>
  <si>
    <t>草泥马之魂</t>
  </si>
  <si>
    <t>1#21600047#1|2#21600047#1|3#21600047#1</t>
  </si>
  <si>
    <t>5代天翼精核</t>
  </si>
  <si>
    <t>1#50044101#1|2#50044101#1|3#50044101#1</t>
  </si>
  <si>
    <t>1#50040097#50|2#50040097#50|3#50040097#50</t>
  </si>
  <si>
    <t>黄金天马之魂</t>
  </si>
  <si>
    <t>1#21600051#1|2#21600051#1|3#21600051#1</t>
  </si>
  <si>
    <t>大蝎子之魂</t>
  </si>
  <si>
    <t>1#21600049#1|2#21600049#1|3#21600049#1</t>
  </si>
  <si>
    <t>6代天翼精核</t>
  </si>
  <si>
    <t>1#50044102#1|2#50044102#1|3#50044102#1</t>
  </si>
  <si>
    <t>狮鹫之魂</t>
  </si>
  <si>
    <t>1#21600053#1|2#21600053#1|3#21600053#1</t>
  </si>
  <si>
    <t>水乌龟之魂</t>
  </si>
  <si>
    <t>1#21600055#1|2#21600055#1|3#21600055#1</t>
  </si>
  <si>
    <t>1#</t>
  </si>
  <si>
    <t>50010010#20</t>
  </si>
  <si>
    <t>2#</t>
  </si>
  <si>
    <t>3#</t>
  </si>
  <si>
    <t>50040074#10</t>
  </si>
  <si>
    <t>50040057#10</t>
  </si>
  <si>
    <t>50040059</t>
  </si>
  <si>
    <t>50040059#6</t>
  </si>
  <si>
    <t>60010002#10</t>
  </si>
  <si>
    <t>50030002#5</t>
  </si>
  <si>
    <t>50030003#5</t>
  </si>
  <si>
    <t>50040061#6</t>
  </si>
  <si>
    <t>50040075</t>
  </si>
  <si>
    <t>50040075#2</t>
  </si>
  <si>
    <t>50040077</t>
  </si>
  <si>
    <t>50040077#2</t>
  </si>
  <si>
    <t>50040076</t>
  </si>
  <si>
    <t>50040076#2</t>
  </si>
  <si>
    <t>50030005#1</t>
  </si>
  <si>
    <t>30039702#1</t>
  </si>
  <si>
    <t>破碎的神鹰火种</t>
  </si>
  <si>
    <t>50040027#1</t>
  </si>
  <si>
    <t>天界之钢</t>
  </si>
  <si>
    <t>50040098#40</t>
  </si>
  <si>
    <t>21600006</t>
  </si>
  <si>
    <t>金狼兽之角</t>
  </si>
  <si>
    <t>21600006#1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</si>
</sst>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Font="1">
      <alignment vertical="center"/>
    </xf>
    <xf numFmtId="0" fontId="1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workbookViewId="0">
      <pane xSplit="4" ySplit="4" topLeftCell="E83" activePane="bottomRight" state="frozen"/>
      <selection/>
      <selection pane="topRight"/>
      <selection pane="bottomLeft"/>
      <selection pane="bottomRight" activeCell="F92" sqref="F92"/>
    </sheetView>
  </sheetViews>
  <sheetFormatPr defaultColWidth="9" defaultRowHeight="17.25"/>
  <cols>
    <col min="1" max="1" width="9" style="11"/>
    <col min="2" max="3" width="13" style="11" customWidth="1"/>
    <col min="4" max="4" width="54.875" style="11" customWidth="1"/>
    <col min="5" max="5" width="13.75" style="11" customWidth="1"/>
    <col min="6" max="6" width="22.5" style="11" customWidth="1"/>
    <col min="7" max="7" width="19" style="11" customWidth="1"/>
    <col min="8" max="8" width="17" style="11" customWidth="1"/>
    <col min="9" max="9" width="19.375" style="11" customWidth="1"/>
    <col min="10" max="10" width="15.625" style="11" customWidth="1"/>
    <col min="11" max="11" width="14.875" style="11" customWidth="1"/>
    <col min="12" max="16384" width="9" style="11"/>
  </cols>
  <sheetData>
    <row r="1" spans="1:1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6" t="s">
        <v>9</v>
      </c>
      <c r="K1" s="6" t="s">
        <v>10</v>
      </c>
    </row>
    <row r="2" s="6" customFormat="1" ht="120.75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</row>
    <row r="3" spans="1:11">
      <c r="A3" s="11" t="s">
        <v>22</v>
      </c>
      <c r="B3" s="11" t="s">
        <v>22</v>
      </c>
      <c r="C3" s="11" t="s">
        <v>23</v>
      </c>
      <c r="D3" s="11" t="s">
        <v>24</v>
      </c>
      <c r="E3" s="11" t="s">
        <v>22</v>
      </c>
      <c r="F3" s="11" t="s">
        <v>22</v>
      </c>
      <c r="G3" s="11" t="s">
        <v>25</v>
      </c>
      <c r="H3" s="11" t="s">
        <v>26</v>
      </c>
      <c r="I3" s="11" t="s">
        <v>22</v>
      </c>
      <c r="J3" s="11" t="s">
        <v>22</v>
      </c>
      <c r="K3" s="11" t="s">
        <v>27</v>
      </c>
    </row>
    <row r="4" spans="1:11">
      <c r="A4" s="11" t="s">
        <v>0</v>
      </c>
      <c r="B4" s="11" t="s">
        <v>28</v>
      </c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I4" s="11" t="s">
        <v>35</v>
      </c>
      <c r="J4" s="11" t="s">
        <v>36</v>
      </c>
      <c r="K4" s="11" t="s">
        <v>37</v>
      </c>
    </row>
    <row r="5" spans="1:11">
      <c r="A5" s="11">
        <v>1001</v>
      </c>
      <c r="B5" s="11">
        <v>1</v>
      </c>
      <c r="C5" s="11" t="s">
        <v>38</v>
      </c>
      <c r="D5" s="11" t="s">
        <v>39</v>
      </c>
      <c r="E5" s="11">
        <v>2500</v>
      </c>
      <c r="F5" s="11">
        <v>999999</v>
      </c>
      <c r="K5" s="11">
        <v>3</v>
      </c>
    </row>
    <row r="6" spans="1:11">
      <c r="A6" s="11">
        <v>1002</v>
      </c>
      <c r="B6" s="11">
        <v>1</v>
      </c>
      <c r="C6" s="11" t="s">
        <v>40</v>
      </c>
      <c r="D6" s="11" t="s">
        <v>41</v>
      </c>
      <c r="E6" s="11">
        <v>4000</v>
      </c>
      <c r="F6" s="11">
        <v>999999</v>
      </c>
      <c r="K6" s="11">
        <v>4</v>
      </c>
    </row>
    <row r="7" spans="1:11">
      <c r="A7" s="11">
        <v>1003</v>
      </c>
      <c r="B7" s="11">
        <v>1</v>
      </c>
      <c r="C7" s="11" t="s">
        <v>42</v>
      </c>
      <c r="D7" s="11" t="s">
        <v>43</v>
      </c>
      <c r="E7" s="11">
        <v>4000</v>
      </c>
      <c r="F7" s="11">
        <v>999999</v>
      </c>
      <c r="K7" s="11">
        <v>5</v>
      </c>
    </row>
    <row r="8" spans="1:11">
      <c r="A8" s="11">
        <v>1004</v>
      </c>
      <c r="B8" s="11">
        <v>1</v>
      </c>
      <c r="C8" s="11" t="s">
        <v>44</v>
      </c>
      <c r="D8" s="11" t="s">
        <v>45</v>
      </c>
      <c r="E8" s="11">
        <v>3500</v>
      </c>
      <c r="F8" s="11">
        <v>999999</v>
      </c>
      <c r="K8" s="11">
        <v>6</v>
      </c>
    </row>
    <row r="9" spans="1:11">
      <c r="A9" s="11">
        <v>1005</v>
      </c>
      <c r="B9" s="11">
        <v>1</v>
      </c>
      <c r="C9" s="11" t="s">
        <v>46</v>
      </c>
      <c r="D9" s="11" t="s">
        <v>47</v>
      </c>
      <c r="E9" s="11">
        <v>4000</v>
      </c>
      <c r="F9" s="11">
        <v>999999</v>
      </c>
      <c r="K9" s="11">
        <v>7</v>
      </c>
    </row>
    <row r="10" spans="1:11">
      <c r="A10" s="11">
        <v>1006</v>
      </c>
      <c r="B10" s="11">
        <v>1</v>
      </c>
      <c r="C10" s="11" t="s">
        <v>48</v>
      </c>
      <c r="D10" s="11" t="s">
        <v>49</v>
      </c>
      <c r="E10" s="11">
        <v>5000</v>
      </c>
      <c r="F10" s="11">
        <v>999999</v>
      </c>
      <c r="K10" s="11">
        <v>8</v>
      </c>
    </row>
    <row r="11" spans="1:11">
      <c r="A11" s="11">
        <v>1007</v>
      </c>
      <c r="B11" s="11">
        <v>1</v>
      </c>
      <c r="C11" s="11" t="s">
        <v>50</v>
      </c>
      <c r="D11" s="11" t="s">
        <v>51</v>
      </c>
      <c r="E11" s="11">
        <v>5000</v>
      </c>
      <c r="F11" s="11">
        <v>999999</v>
      </c>
      <c r="K11" s="11">
        <v>10</v>
      </c>
    </row>
    <row r="12" spans="1:11">
      <c r="A12" s="11">
        <v>1008</v>
      </c>
      <c r="B12" s="11">
        <v>1</v>
      </c>
      <c r="C12" s="11" t="s">
        <v>52</v>
      </c>
      <c r="D12" s="11" t="s">
        <v>53</v>
      </c>
      <c r="E12" s="11">
        <v>3000</v>
      </c>
      <c r="F12" s="11">
        <v>999999</v>
      </c>
      <c r="K12" s="11">
        <v>11</v>
      </c>
    </row>
    <row r="13" spans="1:11">
      <c r="A13" s="11">
        <v>1009</v>
      </c>
      <c r="B13" s="11">
        <v>1</v>
      </c>
      <c r="C13" s="11" t="s">
        <v>54</v>
      </c>
      <c r="D13" s="11" t="s">
        <v>55</v>
      </c>
      <c r="E13" s="11">
        <v>2000</v>
      </c>
      <c r="F13" s="11">
        <v>999999</v>
      </c>
      <c r="K13" s="11">
        <v>12</v>
      </c>
    </row>
    <row r="14" spans="1:11">
      <c r="A14" s="11">
        <v>1010</v>
      </c>
      <c r="B14" s="11">
        <v>1</v>
      </c>
      <c r="C14" s="11" t="s">
        <v>56</v>
      </c>
      <c r="D14" s="11" t="s">
        <v>57</v>
      </c>
      <c r="E14" s="11">
        <v>2000</v>
      </c>
      <c r="F14" s="11">
        <v>999999</v>
      </c>
      <c r="K14" s="11">
        <v>13</v>
      </c>
    </row>
    <row r="15" spans="1:11">
      <c r="A15" s="11">
        <v>1011</v>
      </c>
      <c r="B15" s="11">
        <v>1</v>
      </c>
      <c r="C15" s="11" t="s">
        <v>58</v>
      </c>
      <c r="D15" s="11" t="s">
        <v>59</v>
      </c>
      <c r="E15" s="11">
        <v>2000</v>
      </c>
      <c r="F15" s="11">
        <v>999999</v>
      </c>
      <c r="K15" s="11">
        <v>14</v>
      </c>
    </row>
    <row r="16" spans="1:11">
      <c r="A16" s="11">
        <v>1012</v>
      </c>
      <c r="B16" s="11">
        <v>1</v>
      </c>
      <c r="C16" s="11" t="s">
        <v>60</v>
      </c>
      <c r="D16" s="11" t="s">
        <v>61</v>
      </c>
      <c r="E16" s="11">
        <v>1000</v>
      </c>
      <c r="F16" s="11">
        <v>999999</v>
      </c>
      <c r="K16" s="11">
        <v>15</v>
      </c>
    </row>
    <row r="17" spans="1:11">
      <c r="A17" s="11">
        <v>1013</v>
      </c>
      <c r="B17" s="11">
        <v>1</v>
      </c>
      <c r="C17" s="11" t="s">
        <v>62</v>
      </c>
      <c r="D17" s="11" t="s">
        <v>63</v>
      </c>
      <c r="E17" s="11">
        <v>600</v>
      </c>
      <c r="F17" s="11">
        <v>10</v>
      </c>
      <c r="I17" s="11">
        <v>55</v>
      </c>
      <c r="J17" s="11">
        <v>2</v>
      </c>
      <c r="K17" s="11">
        <v>16</v>
      </c>
    </row>
    <row r="18" spans="1:11">
      <c r="A18" s="11">
        <v>1014</v>
      </c>
      <c r="B18" s="11">
        <v>1</v>
      </c>
      <c r="C18" s="11" t="s">
        <v>64</v>
      </c>
      <c r="D18" s="11" t="s">
        <v>65</v>
      </c>
      <c r="E18" s="11">
        <v>250</v>
      </c>
      <c r="F18" s="11">
        <v>5</v>
      </c>
      <c r="H18" s="11">
        <v>100</v>
      </c>
      <c r="I18" s="11">
        <v>120</v>
      </c>
      <c r="J18" s="11">
        <v>2</v>
      </c>
      <c r="K18" s="11">
        <v>9</v>
      </c>
    </row>
    <row r="19" spans="1:11">
      <c r="A19" s="11">
        <v>1015</v>
      </c>
      <c r="B19" s="11">
        <v>1</v>
      </c>
      <c r="C19" s="11" t="s">
        <v>66</v>
      </c>
      <c r="D19" s="11" t="s">
        <v>67</v>
      </c>
      <c r="E19" s="11">
        <v>500</v>
      </c>
      <c r="F19" s="11">
        <v>6</v>
      </c>
      <c r="I19" s="11">
        <v>75</v>
      </c>
      <c r="J19" s="11">
        <v>2</v>
      </c>
      <c r="K19" s="11">
        <v>2</v>
      </c>
    </row>
    <row r="20" spans="1:11">
      <c r="A20" s="11">
        <v>1016</v>
      </c>
      <c r="B20" s="11">
        <v>1</v>
      </c>
      <c r="C20" s="11" t="s">
        <v>68</v>
      </c>
      <c r="D20" s="11" t="s">
        <v>69</v>
      </c>
      <c r="E20" s="11">
        <v>100</v>
      </c>
      <c r="F20" s="11">
        <v>1</v>
      </c>
      <c r="H20" s="11">
        <v>400</v>
      </c>
      <c r="I20" s="11">
        <v>580</v>
      </c>
      <c r="J20" s="11">
        <v>1</v>
      </c>
      <c r="K20" s="11">
        <v>1</v>
      </c>
    </row>
    <row r="21" s="7" customFormat="1" spans="1:11">
      <c r="A21" s="7">
        <v>2001</v>
      </c>
      <c r="B21" s="7">
        <v>2</v>
      </c>
      <c r="C21" s="7" t="s">
        <v>38</v>
      </c>
      <c r="D21" s="7" t="s">
        <v>39</v>
      </c>
      <c r="E21" s="7">
        <v>2500</v>
      </c>
      <c r="F21" s="7">
        <v>999999</v>
      </c>
      <c r="K21" s="7">
        <v>3</v>
      </c>
    </row>
    <row r="22" s="7" customFormat="1" spans="1:11">
      <c r="A22" s="7">
        <v>2002</v>
      </c>
      <c r="B22" s="7">
        <v>2</v>
      </c>
      <c r="C22" s="7" t="s">
        <v>40</v>
      </c>
      <c r="D22" s="7" t="s">
        <v>41</v>
      </c>
      <c r="E22" s="7">
        <v>4000</v>
      </c>
      <c r="F22" s="7">
        <v>999999</v>
      </c>
      <c r="K22" s="7">
        <v>4</v>
      </c>
    </row>
    <row r="23" s="7" customFormat="1" spans="1:11">
      <c r="A23" s="7">
        <v>2003</v>
      </c>
      <c r="B23" s="7">
        <v>2</v>
      </c>
      <c r="C23" s="7" t="s">
        <v>42</v>
      </c>
      <c r="D23" s="7" t="s">
        <v>43</v>
      </c>
      <c r="E23" s="7">
        <v>4000</v>
      </c>
      <c r="F23" s="7">
        <v>999999</v>
      </c>
      <c r="K23" s="7">
        <v>5</v>
      </c>
    </row>
    <row r="24" s="7" customFormat="1" spans="1:11">
      <c r="A24" s="7">
        <v>2004</v>
      </c>
      <c r="B24" s="7">
        <v>2</v>
      </c>
      <c r="C24" s="7" t="s">
        <v>44</v>
      </c>
      <c r="D24" s="7" t="s">
        <v>45</v>
      </c>
      <c r="E24" s="7">
        <v>3500</v>
      </c>
      <c r="F24" s="7">
        <v>999999</v>
      </c>
      <c r="K24" s="7">
        <v>6</v>
      </c>
    </row>
    <row r="25" s="7" customFormat="1" spans="1:11">
      <c r="A25" s="7">
        <v>2005</v>
      </c>
      <c r="B25" s="7">
        <v>2</v>
      </c>
      <c r="C25" s="7" t="s">
        <v>46</v>
      </c>
      <c r="D25" s="7" t="s">
        <v>47</v>
      </c>
      <c r="E25" s="7">
        <v>4000</v>
      </c>
      <c r="F25" s="7">
        <v>999999</v>
      </c>
      <c r="K25" s="7">
        <v>7</v>
      </c>
    </row>
    <row r="26" s="7" customFormat="1" spans="1:11">
      <c r="A26" s="7">
        <v>2006</v>
      </c>
      <c r="B26" s="7">
        <v>2</v>
      </c>
      <c r="C26" s="7" t="s">
        <v>48</v>
      </c>
      <c r="D26" s="7" t="s">
        <v>49</v>
      </c>
      <c r="E26" s="7">
        <v>5000</v>
      </c>
      <c r="F26" s="7">
        <v>999999</v>
      </c>
      <c r="K26" s="7">
        <v>8</v>
      </c>
    </row>
    <row r="27" s="7" customFormat="1" spans="1:11">
      <c r="A27" s="7">
        <v>2007</v>
      </c>
      <c r="B27" s="7">
        <v>2</v>
      </c>
      <c r="C27" s="7" t="s">
        <v>50</v>
      </c>
      <c r="D27" s="7" t="s">
        <v>51</v>
      </c>
      <c r="E27" s="7">
        <v>5000</v>
      </c>
      <c r="F27" s="7">
        <v>999999</v>
      </c>
      <c r="K27" s="7">
        <v>10</v>
      </c>
    </row>
    <row r="28" s="7" customFormat="1" spans="1:11">
      <c r="A28" s="7">
        <v>2008</v>
      </c>
      <c r="B28" s="7">
        <v>2</v>
      </c>
      <c r="C28" s="7" t="s">
        <v>52</v>
      </c>
      <c r="D28" s="7" t="s">
        <v>53</v>
      </c>
      <c r="E28" s="7">
        <v>3000</v>
      </c>
      <c r="F28" s="7">
        <v>999999</v>
      </c>
      <c r="K28" s="7">
        <v>11</v>
      </c>
    </row>
    <row r="29" s="7" customFormat="1" spans="1:11">
      <c r="A29" s="7">
        <v>2009</v>
      </c>
      <c r="B29" s="7">
        <v>2</v>
      </c>
      <c r="C29" s="7" t="s">
        <v>54</v>
      </c>
      <c r="D29" s="7" t="s">
        <v>55</v>
      </c>
      <c r="E29" s="7">
        <v>2000</v>
      </c>
      <c r="F29" s="7">
        <v>999999</v>
      </c>
      <c r="K29" s="7">
        <v>12</v>
      </c>
    </row>
    <row r="30" s="7" customFormat="1" spans="1:11">
      <c r="A30" s="7">
        <v>2010</v>
      </c>
      <c r="B30" s="7">
        <v>2</v>
      </c>
      <c r="C30" s="7" t="s">
        <v>56</v>
      </c>
      <c r="D30" s="7" t="s">
        <v>57</v>
      </c>
      <c r="E30" s="7">
        <v>2000</v>
      </c>
      <c r="F30" s="7">
        <v>999999</v>
      </c>
      <c r="K30" s="7">
        <v>13</v>
      </c>
    </row>
    <row r="31" s="7" customFormat="1" spans="1:11">
      <c r="A31" s="7">
        <v>2011</v>
      </c>
      <c r="B31" s="7">
        <v>2</v>
      </c>
      <c r="C31" s="7" t="s">
        <v>58</v>
      </c>
      <c r="D31" s="7" t="s">
        <v>59</v>
      </c>
      <c r="E31" s="7">
        <v>2000</v>
      </c>
      <c r="F31" s="7">
        <v>999999</v>
      </c>
      <c r="K31" s="7">
        <v>14</v>
      </c>
    </row>
    <row r="32" s="7" customFormat="1" spans="1:11">
      <c r="A32" s="7">
        <v>2012</v>
      </c>
      <c r="B32" s="7">
        <v>2</v>
      </c>
      <c r="C32" s="7" t="s">
        <v>60</v>
      </c>
      <c r="D32" s="7" t="s">
        <v>61</v>
      </c>
      <c r="E32" s="7">
        <v>1000</v>
      </c>
      <c r="F32" s="7">
        <v>999999</v>
      </c>
      <c r="K32" s="7">
        <v>15</v>
      </c>
    </row>
    <row r="33" s="7" customFormat="1" spans="1:11">
      <c r="A33" s="7">
        <v>2013</v>
      </c>
      <c r="B33" s="7">
        <v>2</v>
      </c>
      <c r="C33" s="7" t="s">
        <v>62</v>
      </c>
      <c r="D33" s="7" t="s">
        <v>63</v>
      </c>
      <c r="E33" s="7">
        <v>600</v>
      </c>
      <c r="F33" s="7">
        <v>10</v>
      </c>
      <c r="I33" s="7">
        <v>55</v>
      </c>
      <c r="J33" s="7">
        <v>2</v>
      </c>
      <c r="K33" s="7">
        <v>16</v>
      </c>
    </row>
    <row r="34" s="7" customFormat="1" spans="1:11">
      <c r="A34" s="7">
        <v>2014</v>
      </c>
      <c r="B34" s="7">
        <v>2</v>
      </c>
      <c r="C34" s="7" t="s">
        <v>70</v>
      </c>
      <c r="D34" s="7" t="s">
        <v>71</v>
      </c>
      <c r="E34" s="7">
        <v>250</v>
      </c>
      <c r="F34" s="7">
        <v>5</v>
      </c>
      <c r="H34" s="7">
        <v>100</v>
      </c>
      <c r="I34" s="7">
        <v>120</v>
      </c>
      <c r="J34" s="7">
        <v>2</v>
      </c>
      <c r="K34" s="7">
        <v>9</v>
      </c>
    </row>
    <row r="35" s="7" customFormat="1" spans="1:11">
      <c r="A35" s="7">
        <v>2015</v>
      </c>
      <c r="B35" s="7">
        <v>2</v>
      </c>
      <c r="C35" s="7" t="s">
        <v>66</v>
      </c>
      <c r="D35" s="7" t="s">
        <v>67</v>
      </c>
      <c r="E35" s="7">
        <v>500</v>
      </c>
      <c r="F35" s="7">
        <v>6</v>
      </c>
      <c r="I35" s="7">
        <v>75</v>
      </c>
      <c r="J35" s="7">
        <v>2</v>
      </c>
      <c r="K35" s="7">
        <v>2</v>
      </c>
    </row>
    <row r="36" s="7" customFormat="1" spans="1:11">
      <c r="A36" s="7">
        <v>2016</v>
      </c>
      <c r="B36" s="7">
        <v>2</v>
      </c>
      <c r="C36" s="7" t="s">
        <v>72</v>
      </c>
      <c r="D36" s="7" t="s">
        <v>73</v>
      </c>
      <c r="E36" s="7">
        <v>100</v>
      </c>
      <c r="F36" s="7">
        <v>1</v>
      </c>
      <c r="H36" s="7">
        <v>400</v>
      </c>
      <c r="I36" s="7">
        <v>580</v>
      </c>
      <c r="J36" s="7">
        <v>1</v>
      </c>
      <c r="K36" s="7">
        <v>1</v>
      </c>
    </row>
    <row r="37" s="8" customFormat="1" spans="1:11">
      <c r="A37" s="8">
        <v>3001</v>
      </c>
      <c r="B37" s="8">
        <v>3</v>
      </c>
      <c r="C37" s="8" t="s">
        <v>38</v>
      </c>
      <c r="D37" s="8" t="s">
        <v>39</v>
      </c>
      <c r="E37" s="8">
        <v>2500</v>
      </c>
      <c r="F37" s="8">
        <v>999999</v>
      </c>
      <c r="K37" s="8">
        <v>3</v>
      </c>
    </row>
    <row r="38" s="8" customFormat="1" spans="1:11">
      <c r="A38" s="8">
        <v>3002</v>
      </c>
      <c r="B38" s="8">
        <v>3</v>
      </c>
      <c r="C38" s="8" t="s">
        <v>40</v>
      </c>
      <c r="D38" s="8" t="s">
        <v>41</v>
      </c>
      <c r="E38" s="8">
        <v>4000</v>
      </c>
      <c r="F38" s="8">
        <v>999999</v>
      </c>
      <c r="K38" s="8">
        <v>4</v>
      </c>
    </row>
    <row r="39" s="8" customFormat="1" spans="1:11">
      <c r="A39" s="8">
        <v>3003</v>
      </c>
      <c r="B39" s="8">
        <v>3</v>
      </c>
      <c r="C39" s="8" t="s">
        <v>42</v>
      </c>
      <c r="D39" s="8" t="s">
        <v>43</v>
      </c>
      <c r="E39" s="8">
        <v>4000</v>
      </c>
      <c r="F39" s="8">
        <v>999999</v>
      </c>
      <c r="K39" s="8">
        <v>5</v>
      </c>
    </row>
    <row r="40" s="8" customFormat="1" spans="1:11">
      <c r="A40" s="8">
        <v>3004</v>
      </c>
      <c r="B40" s="8">
        <v>3</v>
      </c>
      <c r="C40" s="8" t="s">
        <v>44</v>
      </c>
      <c r="D40" s="8" t="s">
        <v>45</v>
      </c>
      <c r="E40" s="8">
        <v>3500</v>
      </c>
      <c r="F40" s="8">
        <v>999999</v>
      </c>
      <c r="K40" s="8">
        <v>6</v>
      </c>
    </row>
    <row r="41" s="8" customFormat="1" spans="1:11">
      <c r="A41" s="8">
        <v>3005</v>
      </c>
      <c r="B41" s="8">
        <v>3</v>
      </c>
      <c r="C41" s="8" t="s">
        <v>46</v>
      </c>
      <c r="D41" s="8" t="s">
        <v>47</v>
      </c>
      <c r="E41" s="8">
        <v>4000</v>
      </c>
      <c r="F41" s="8">
        <v>999999</v>
      </c>
      <c r="K41" s="8">
        <v>7</v>
      </c>
    </row>
    <row r="42" s="8" customFormat="1" spans="1:11">
      <c r="A42" s="8">
        <v>3006</v>
      </c>
      <c r="B42" s="8">
        <v>3</v>
      </c>
      <c r="C42" s="8" t="s">
        <v>48</v>
      </c>
      <c r="D42" s="8" t="s">
        <v>49</v>
      </c>
      <c r="E42" s="8">
        <v>5000</v>
      </c>
      <c r="F42" s="8">
        <v>999999</v>
      </c>
      <c r="K42" s="8">
        <v>8</v>
      </c>
    </row>
    <row r="43" s="8" customFormat="1" spans="1:11">
      <c r="A43" s="8">
        <v>3007</v>
      </c>
      <c r="B43" s="8">
        <v>3</v>
      </c>
      <c r="C43" s="8" t="s">
        <v>50</v>
      </c>
      <c r="D43" s="8" t="s">
        <v>51</v>
      </c>
      <c r="E43" s="8">
        <v>5000</v>
      </c>
      <c r="F43" s="8">
        <v>999999</v>
      </c>
      <c r="K43" s="8">
        <v>10</v>
      </c>
    </row>
    <row r="44" s="8" customFormat="1" spans="1:11">
      <c r="A44" s="8">
        <v>3008</v>
      </c>
      <c r="B44" s="8">
        <v>3</v>
      </c>
      <c r="C44" s="8" t="s">
        <v>52</v>
      </c>
      <c r="D44" s="8" t="s">
        <v>53</v>
      </c>
      <c r="E44" s="8">
        <v>3000</v>
      </c>
      <c r="F44" s="8">
        <v>999999</v>
      </c>
      <c r="K44" s="8">
        <v>11</v>
      </c>
    </row>
    <row r="45" s="8" customFormat="1" spans="1:11">
      <c r="A45" s="8">
        <v>3009</v>
      </c>
      <c r="B45" s="8">
        <v>3</v>
      </c>
      <c r="C45" s="8" t="s">
        <v>54</v>
      </c>
      <c r="D45" s="8" t="s">
        <v>55</v>
      </c>
      <c r="E45" s="8">
        <v>2000</v>
      </c>
      <c r="F45" s="8">
        <v>999999</v>
      </c>
      <c r="K45" s="8">
        <v>12</v>
      </c>
    </row>
    <row r="46" s="8" customFormat="1" spans="1:11">
      <c r="A46" s="8">
        <v>3010</v>
      </c>
      <c r="B46" s="8">
        <v>3</v>
      </c>
      <c r="C46" s="8" t="s">
        <v>56</v>
      </c>
      <c r="D46" s="8" t="s">
        <v>57</v>
      </c>
      <c r="E46" s="8">
        <v>2000</v>
      </c>
      <c r="F46" s="8">
        <v>999999</v>
      </c>
      <c r="K46" s="8">
        <v>13</v>
      </c>
    </row>
    <row r="47" s="8" customFormat="1" spans="1:11">
      <c r="A47" s="8">
        <v>3011</v>
      </c>
      <c r="B47" s="8">
        <v>3</v>
      </c>
      <c r="C47" s="8" t="s">
        <v>58</v>
      </c>
      <c r="D47" s="8" t="s">
        <v>59</v>
      </c>
      <c r="E47" s="8">
        <v>2000</v>
      </c>
      <c r="F47" s="8">
        <v>999999</v>
      </c>
      <c r="K47" s="8">
        <v>14</v>
      </c>
    </row>
    <row r="48" s="8" customFormat="1" spans="1:11">
      <c r="A48" s="8">
        <v>3012</v>
      </c>
      <c r="B48" s="8">
        <v>3</v>
      </c>
      <c r="C48" s="8" t="s">
        <v>60</v>
      </c>
      <c r="D48" s="8" t="s">
        <v>61</v>
      </c>
      <c r="E48" s="8">
        <v>1000</v>
      </c>
      <c r="F48" s="8">
        <v>999999</v>
      </c>
      <c r="K48" s="8">
        <v>15</v>
      </c>
    </row>
    <row r="49" s="8" customFormat="1" spans="1:11">
      <c r="A49" s="8">
        <v>3013</v>
      </c>
      <c r="B49" s="8">
        <v>3</v>
      </c>
      <c r="C49" s="8" t="s">
        <v>62</v>
      </c>
      <c r="D49" s="8" t="s">
        <v>63</v>
      </c>
      <c r="E49" s="8">
        <v>600</v>
      </c>
      <c r="F49" s="8">
        <v>10</v>
      </c>
      <c r="I49" s="8">
        <v>55</v>
      </c>
      <c r="J49" s="8">
        <v>2</v>
      </c>
      <c r="K49" s="8">
        <v>16</v>
      </c>
    </row>
    <row r="50" s="8" customFormat="1" spans="1:11">
      <c r="A50" s="8">
        <v>3014</v>
      </c>
      <c r="B50" s="8">
        <v>3</v>
      </c>
      <c r="C50" s="8" t="s">
        <v>74</v>
      </c>
      <c r="D50" s="8" t="s">
        <v>75</v>
      </c>
      <c r="E50" s="8">
        <v>250</v>
      </c>
      <c r="F50" s="8">
        <v>5</v>
      </c>
      <c r="H50" s="8">
        <v>100</v>
      </c>
      <c r="I50" s="8">
        <v>120</v>
      </c>
      <c r="J50" s="8">
        <v>2</v>
      </c>
      <c r="K50" s="8">
        <v>9</v>
      </c>
    </row>
    <row r="51" s="8" customFormat="1" spans="1:11">
      <c r="A51" s="8">
        <v>3015</v>
      </c>
      <c r="B51" s="8">
        <v>3</v>
      </c>
      <c r="C51" s="8" t="s">
        <v>66</v>
      </c>
      <c r="D51" s="8" t="s">
        <v>76</v>
      </c>
      <c r="E51" s="8">
        <v>500</v>
      </c>
      <c r="F51" s="8">
        <v>6</v>
      </c>
      <c r="I51" s="8">
        <v>75</v>
      </c>
      <c r="J51" s="8">
        <v>2</v>
      </c>
      <c r="K51" s="8">
        <v>2</v>
      </c>
    </row>
    <row r="52" s="8" customFormat="1" spans="1:11">
      <c r="A52" s="8">
        <v>3016</v>
      </c>
      <c r="B52" s="8">
        <v>3</v>
      </c>
      <c r="C52" s="8" t="s">
        <v>77</v>
      </c>
      <c r="D52" s="8" t="s">
        <v>78</v>
      </c>
      <c r="E52" s="8">
        <v>100</v>
      </c>
      <c r="F52" s="8">
        <v>1</v>
      </c>
      <c r="H52" s="8">
        <v>400</v>
      </c>
      <c r="I52" s="8">
        <v>580</v>
      </c>
      <c r="J52" s="8">
        <v>1</v>
      </c>
      <c r="K52" s="8">
        <v>1</v>
      </c>
    </row>
    <row r="53" s="9" customFormat="1" spans="1:11">
      <c r="A53" s="9">
        <v>4001</v>
      </c>
      <c r="B53" s="9">
        <v>4</v>
      </c>
      <c r="C53" s="9" t="s">
        <v>38</v>
      </c>
      <c r="D53" s="9" t="s">
        <v>39</v>
      </c>
      <c r="E53" s="9">
        <v>2500</v>
      </c>
      <c r="F53" s="9">
        <v>999999</v>
      </c>
      <c r="K53" s="9">
        <v>3</v>
      </c>
    </row>
    <row r="54" s="9" customFormat="1" spans="1:11">
      <c r="A54" s="9">
        <v>4002</v>
      </c>
      <c r="B54" s="9">
        <v>4</v>
      </c>
      <c r="C54" s="9" t="s">
        <v>40</v>
      </c>
      <c r="D54" s="9" t="s">
        <v>41</v>
      </c>
      <c r="E54" s="9">
        <v>4000</v>
      </c>
      <c r="F54" s="9">
        <v>999999</v>
      </c>
      <c r="K54" s="9">
        <v>4</v>
      </c>
    </row>
    <row r="55" s="9" customFormat="1" spans="1:11">
      <c r="A55" s="9">
        <v>4003</v>
      </c>
      <c r="B55" s="9">
        <v>4</v>
      </c>
      <c r="C55" s="9" t="s">
        <v>42</v>
      </c>
      <c r="D55" s="9" t="s">
        <v>43</v>
      </c>
      <c r="E55" s="9">
        <v>4000</v>
      </c>
      <c r="F55" s="9">
        <v>999999</v>
      </c>
      <c r="K55" s="9">
        <v>5</v>
      </c>
    </row>
    <row r="56" s="9" customFormat="1" spans="1:11">
      <c r="A56" s="9">
        <v>4004</v>
      </c>
      <c r="B56" s="9">
        <v>4</v>
      </c>
      <c r="C56" s="9" t="s">
        <v>44</v>
      </c>
      <c r="D56" s="9" t="s">
        <v>45</v>
      </c>
      <c r="E56" s="9">
        <v>3500</v>
      </c>
      <c r="F56" s="9">
        <v>999999</v>
      </c>
      <c r="K56" s="9">
        <v>6</v>
      </c>
    </row>
    <row r="57" s="9" customFormat="1" spans="1:11">
      <c r="A57" s="9">
        <v>4005</v>
      </c>
      <c r="B57" s="9">
        <v>4</v>
      </c>
      <c r="C57" s="9" t="s">
        <v>46</v>
      </c>
      <c r="D57" s="9" t="s">
        <v>47</v>
      </c>
      <c r="E57" s="9">
        <v>4000</v>
      </c>
      <c r="F57" s="9">
        <v>999999</v>
      </c>
      <c r="K57" s="9">
        <v>7</v>
      </c>
    </row>
    <row r="58" s="9" customFormat="1" spans="1:11">
      <c r="A58" s="9">
        <v>4006</v>
      </c>
      <c r="B58" s="9">
        <v>4</v>
      </c>
      <c r="C58" s="9" t="s">
        <v>48</v>
      </c>
      <c r="D58" s="9" t="s">
        <v>49</v>
      </c>
      <c r="E58" s="9">
        <v>5000</v>
      </c>
      <c r="F58" s="9">
        <v>999999</v>
      </c>
      <c r="K58" s="9">
        <v>8</v>
      </c>
    </row>
    <row r="59" s="9" customFormat="1" spans="1:11">
      <c r="A59" s="9">
        <v>4007</v>
      </c>
      <c r="B59" s="9">
        <v>4</v>
      </c>
      <c r="C59" s="9" t="s">
        <v>50</v>
      </c>
      <c r="D59" s="9" t="s">
        <v>51</v>
      </c>
      <c r="E59" s="9">
        <v>5000</v>
      </c>
      <c r="F59" s="9">
        <v>999999</v>
      </c>
      <c r="K59" s="9">
        <v>10</v>
      </c>
    </row>
    <row r="60" s="9" customFormat="1" spans="1:11">
      <c r="A60" s="9">
        <v>4008</v>
      </c>
      <c r="B60" s="9">
        <v>4</v>
      </c>
      <c r="C60" s="9" t="s">
        <v>52</v>
      </c>
      <c r="D60" s="9" t="s">
        <v>53</v>
      </c>
      <c r="E60" s="9">
        <v>3000</v>
      </c>
      <c r="F60" s="9">
        <v>999999</v>
      </c>
      <c r="K60" s="9">
        <v>11</v>
      </c>
    </row>
    <row r="61" s="9" customFormat="1" spans="1:11">
      <c r="A61" s="9">
        <v>4009</v>
      </c>
      <c r="B61" s="9">
        <v>4</v>
      </c>
      <c r="C61" s="9" t="s">
        <v>54</v>
      </c>
      <c r="D61" s="9" t="s">
        <v>55</v>
      </c>
      <c r="E61" s="9">
        <v>2000</v>
      </c>
      <c r="F61" s="9">
        <v>999999</v>
      </c>
      <c r="K61" s="9">
        <v>12</v>
      </c>
    </row>
    <row r="62" s="9" customFormat="1" spans="1:11">
      <c r="A62" s="9">
        <v>4010</v>
      </c>
      <c r="B62" s="9">
        <v>4</v>
      </c>
      <c r="C62" s="9" t="s">
        <v>56</v>
      </c>
      <c r="D62" s="9" t="s">
        <v>57</v>
      </c>
      <c r="E62" s="9">
        <v>2000</v>
      </c>
      <c r="F62" s="9">
        <v>999999</v>
      </c>
      <c r="K62" s="9">
        <v>13</v>
      </c>
    </row>
    <row r="63" s="9" customFormat="1" spans="1:11">
      <c r="A63" s="9">
        <v>4011</v>
      </c>
      <c r="B63" s="9">
        <v>4</v>
      </c>
      <c r="C63" s="9" t="s">
        <v>58</v>
      </c>
      <c r="D63" s="9" t="s">
        <v>59</v>
      </c>
      <c r="E63" s="9">
        <v>2000</v>
      </c>
      <c r="F63" s="9">
        <v>999999</v>
      </c>
      <c r="K63" s="9">
        <v>14</v>
      </c>
    </row>
    <row r="64" s="9" customFormat="1" spans="1:11">
      <c r="A64" s="9">
        <v>4012</v>
      </c>
      <c r="B64" s="9">
        <v>4</v>
      </c>
      <c r="C64" s="9" t="s">
        <v>60</v>
      </c>
      <c r="D64" s="9" t="s">
        <v>61</v>
      </c>
      <c r="E64" s="9">
        <v>1000</v>
      </c>
      <c r="F64" s="9">
        <v>999999</v>
      </c>
      <c r="K64" s="9">
        <v>15</v>
      </c>
    </row>
    <row r="65" s="9" customFormat="1" spans="1:11">
      <c r="A65" s="9">
        <v>4013</v>
      </c>
      <c r="B65" s="9">
        <v>4</v>
      </c>
      <c r="C65" s="9" t="s">
        <v>62</v>
      </c>
      <c r="D65" s="9" t="s">
        <v>63</v>
      </c>
      <c r="E65" s="9">
        <v>600</v>
      </c>
      <c r="F65" s="9">
        <v>10</v>
      </c>
      <c r="I65" s="9">
        <v>55</v>
      </c>
      <c r="J65" s="9">
        <v>2</v>
      </c>
      <c r="K65" s="9">
        <v>16</v>
      </c>
    </row>
    <row r="66" s="9" customFormat="1" spans="1:11">
      <c r="A66" s="9">
        <v>4014</v>
      </c>
      <c r="B66" s="9">
        <v>4</v>
      </c>
      <c r="C66" s="9" t="s">
        <v>74</v>
      </c>
      <c r="D66" s="9" t="s">
        <v>75</v>
      </c>
      <c r="E66" s="9">
        <v>250</v>
      </c>
      <c r="F66" s="9">
        <v>5</v>
      </c>
      <c r="H66" s="9">
        <v>100</v>
      </c>
      <c r="I66" s="9">
        <v>120</v>
      </c>
      <c r="J66" s="9">
        <v>2</v>
      </c>
      <c r="K66" s="9">
        <v>9</v>
      </c>
    </row>
    <row r="67" s="9" customFormat="1" spans="1:11">
      <c r="A67" s="9">
        <v>4015</v>
      </c>
      <c r="B67" s="9">
        <v>4</v>
      </c>
      <c r="C67" s="9" t="s">
        <v>66</v>
      </c>
      <c r="D67" s="9" t="s">
        <v>76</v>
      </c>
      <c r="E67" s="9">
        <v>500</v>
      </c>
      <c r="F67" s="9">
        <v>6</v>
      </c>
      <c r="I67" s="9">
        <v>75</v>
      </c>
      <c r="J67" s="9">
        <v>2</v>
      </c>
      <c r="K67" s="9">
        <v>2</v>
      </c>
    </row>
    <row r="68" s="9" customFormat="1" spans="1:11">
      <c r="A68" s="9">
        <v>4016</v>
      </c>
      <c r="B68" s="9">
        <v>4</v>
      </c>
      <c r="C68" s="9" t="s">
        <v>79</v>
      </c>
      <c r="D68" s="9" t="s">
        <v>80</v>
      </c>
      <c r="E68" s="9">
        <v>100</v>
      </c>
      <c r="F68" s="9">
        <v>1</v>
      </c>
      <c r="H68" s="9">
        <v>400</v>
      </c>
      <c r="I68" s="9">
        <v>580</v>
      </c>
      <c r="J68" s="9">
        <v>1</v>
      </c>
      <c r="K68" s="9">
        <v>1</v>
      </c>
    </row>
    <row r="69" s="10" customFormat="1" spans="1:11">
      <c r="A69" s="10">
        <v>5001</v>
      </c>
      <c r="B69" s="10">
        <v>5</v>
      </c>
      <c r="C69" s="10" t="s">
        <v>38</v>
      </c>
      <c r="D69" s="10" t="s">
        <v>39</v>
      </c>
      <c r="E69" s="10">
        <v>2500</v>
      </c>
      <c r="F69" s="10">
        <v>999999</v>
      </c>
      <c r="K69" s="10">
        <v>3</v>
      </c>
    </row>
    <row r="70" s="10" customFormat="1" spans="1:11">
      <c r="A70" s="10">
        <v>5002</v>
      </c>
      <c r="B70" s="10">
        <v>5</v>
      </c>
      <c r="C70" s="10" t="s">
        <v>40</v>
      </c>
      <c r="D70" s="10" t="s">
        <v>41</v>
      </c>
      <c r="E70" s="10">
        <v>4000</v>
      </c>
      <c r="F70" s="10">
        <v>999999</v>
      </c>
      <c r="K70" s="10">
        <v>4</v>
      </c>
    </row>
    <row r="71" s="10" customFormat="1" spans="1:11">
      <c r="A71" s="10">
        <v>5003</v>
      </c>
      <c r="B71" s="10">
        <v>5</v>
      </c>
      <c r="C71" s="10" t="s">
        <v>42</v>
      </c>
      <c r="D71" s="10" t="s">
        <v>43</v>
      </c>
      <c r="E71" s="10">
        <v>4000</v>
      </c>
      <c r="F71" s="10">
        <v>999999</v>
      </c>
      <c r="K71" s="10">
        <v>5</v>
      </c>
    </row>
    <row r="72" s="10" customFormat="1" spans="1:11">
      <c r="A72" s="10">
        <v>5004</v>
      </c>
      <c r="B72" s="10">
        <v>5</v>
      </c>
      <c r="C72" s="10" t="s">
        <v>44</v>
      </c>
      <c r="D72" s="10" t="s">
        <v>45</v>
      </c>
      <c r="E72" s="10">
        <v>3500</v>
      </c>
      <c r="F72" s="10">
        <v>999999</v>
      </c>
      <c r="K72" s="10">
        <v>6</v>
      </c>
    </row>
    <row r="73" s="10" customFormat="1" spans="1:11">
      <c r="A73" s="10">
        <v>5005</v>
      </c>
      <c r="B73" s="10">
        <v>5</v>
      </c>
      <c r="C73" s="10" t="s">
        <v>46</v>
      </c>
      <c r="D73" s="10" t="s">
        <v>47</v>
      </c>
      <c r="E73" s="10">
        <v>4000</v>
      </c>
      <c r="F73" s="10">
        <v>999999</v>
      </c>
      <c r="K73" s="10">
        <v>7</v>
      </c>
    </row>
    <row r="74" s="10" customFormat="1" spans="1:11">
      <c r="A74" s="10">
        <v>5006</v>
      </c>
      <c r="B74" s="10">
        <v>5</v>
      </c>
      <c r="C74" s="10" t="s">
        <v>48</v>
      </c>
      <c r="D74" s="10" t="s">
        <v>49</v>
      </c>
      <c r="E74" s="10">
        <v>5000</v>
      </c>
      <c r="F74" s="10">
        <v>999999</v>
      </c>
      <c r="K74" s="10">
        <v>8</v>
      </c>
    </row>
    <row r="75" s="10" customFormat="1" spans="1:11">
      <c r="A75" s="10">
        <v>5007</v>
      </c>
      <c r="B75" s="10">
        <v>5</v>
      </c>
      <c r="C75" s="10" t="s">
        <v>50</v>
      </c>
      <c r="D75" s="10" t="s">
        <v>51</v>
      </c>
      <c r="E75" s="10">
        <v>5000</v>
      </c>
      <c r="F75" s="10">
        <v>999999</v>
      </c>
      <c r="K75" s="10">
        <v>10</v>
      </c>
    </row>
    <row r="76" s="10" customFormat="1" spans="1:11">
      <c r="A76" s="10">
        <v>5008</v>
      </c>
      <c r="B76" s="10">
        <v>5</v>
      </c>
      <c r="C76" s="10" t="s">
        <v>52</v>
      </c>
      <c r="D76" s="10" t="s">
        <v>53</v>
      </c>
      <c r="E76" s="10">
        <v>3000</v>
      </c>
      <c r="F76" s="10">
        <v>999999</v>
      </c>
      <c r="K76" s="10">
        <v>11</v>
      </c>
    </row>
    <row r="77" s="10" customFormat="1" spans="1:11">
      <c r="A77" s="10">
        <v>5009</v>
      </c>
      <c r="B77" s="10">
        <v>5</v>
      </c>
      <c r="C77" s="10" t="s">
        <v>54</v>
      </c>
      <c r="D77" s="10" t="s">
        <v>55</v>
      </c>
      <c r="E77" s="10">
        <v>2000</v>
      </c>
      <c r="F77" s="10">
        <v>999999</v>
      </c>
      <c r="K77" s="10">
        <v>12</v>
      </c>
    </row>
    <row r="78" s="10" customFormat="1" spans="1:11">
      <c r="A78" s="10">
        <v>5010</v>
      </c>
      <c r="B78" s="10">
        <v>5</v>
      </c>
      <c r="C78" s="10" t="s">
        <v>56</v>
      </c>
      <c r="D78" s="10" t="s">
        <v>57</v>
      </c>
      <c r="E78" s="10">
        <v>2000</v>
      </c>
      <c r="F78" s="10">
        <v>999999</v>
      </c>
      <c r="K78" s="10">
        <v>13</v>
      </c>
    </row>
    <row r="79" s="10" customFormat="1" spans="1:11">
      <c r="A79" s="10">
        <v>5011</v>
      </c>
      <c r="B79" s="10">
        <v>5</v>
      </c>
      <c r="C79" s="10" t="s">
        <v>58</v>
      </c>
      <c r="D79" s="10" t="s">
        <v>59</v>
      </c>
      <c r="E79" s="10">
        <v>2000</v>
      </c>
      <c r="F79" s="10">
        <v>999999</v>
      </c>
      <c r="K79" s="10">
        <v>14</v>
      </c>
    </row>
    <row r="80" s="10" customFormat="1" spans="1:11">
      <c r="A80" s="10">
        <v>5012</v>
      </c>
      <c r="B80" s="10">
        <v>5</v>
      </c>
      <c r="C80" s="10" t="s">
        <v>60</v>
      </c>
      <c r="D80" s="10" t="s">
        <v>61</v>
      </c>
      <c r="E80" s="10">
        <v>1000</v>
      </c>
      <c r="F80" s="10">
        <v>999999</v>
      </c>
      <c r="K80" s="10">
        <v>15</v>
      </c>
    </row>
    <row r="81" s="10" customFormat="1" spans="1:11">
      <c r="A81" s="10">
        <v>5013</v>
      </c>
      <c r="B81" s="10">
        <v>5</v>
      </c>
      <c r="C81" s="10" t="s">
        <v>62</v>
      </c>
      <c r="D81" s="10" t="s">
        <v>63</v>
      </c>
      <c r="E81" s="10">
        <v>600</v>
      </c>
      <c r="F81" s="10">
        <v>10</v>
      </c>
      <c r="I81" s="10">
        <v>55</v>
      </c>
      <c r="J81" s="10">
        <v>2</v>
      </c>
      <c r="K81" s="10">
        <v>16</v>
      </c>
    </row>
    <row r="82" s="10" customFormat="1" spans="1:11">
      <c r="A82" s="10">
        <v>5014</v>
      </c>
      <c r="B82" s="10">
        <v>5</v>
      </c>
      <c r="C82" s="10" t="s">
        <v>81</v>
      </c>
      <c r="D82" s="10" t="s">
        <v>82</v>
      </c>
      <c r="E82" s="10">
        <v>250</v>
      </c>
      <c r="F82" s="10">
        <v>5</v>
      </c>
      <c r="H82" s="10">
        <v>100</v>
      </c>
      <c r="I82" s="10">
        <v>120</v>
      </c>
      <c r="J82" s="10">
        <v>2</v>
      </c>
      <c r="K82" s="10">
        <v>9</v>
      </c>
    </row>
    <row r="83" s="10" customFormat="1" spans="1:11">
      <c r="A83" s="10">
        <v>5015</v>
      </c>
      <c r="B83" s="10">
        <v>5</v>
      </c>
      <c r="C83" s="10" t="s">
        <v>66</v>
      </c>
      <c r="D83" s="10" t="s">
        <v>76</v>
      </c>
      <c r="E83" s="10">
        <v>500</v>
      </c>
      <c r="F83" s="10">
        <v>6</v>
      </c>
      <c r="I83" s="10">
        <v>75</v>
      </c>
      <c r="J83" s="10">
        <v>2</v>
      </c>
      <c r="K83" s="10">
        <v>2</v>
      </c>
    </row>
    <row r="84" s="10" customFormat="1" spans="1:11">
      <c r="A84" s="10">
        <v>5016</v>
      </c>
      <c r="B84" s="10">
        <v>5</v>
      </c>
      <c r="C84" s="10" t="s">
        <v>83</v>
      </c>
      <c r="D84" s="10" t="s">
        <v>84</v>
      </c>
      <c r="E84" s="10">
        <v>100</v>
      </c>
      <c r="F84" s="10">
        <v>1</v>
      </c>
      <c r="H84" s="10">
        <v>400</v>
      </c>
      <c r="I84" s="10">
        <v>580</v>
      </c>
      <c r="J84" s="10">
        <v>1</v>
      </c>
      <c r="K84" s="10">
        <v>1</v>
      </c>
    </row>
    <row r="85" s="8" customFormat="1" spans="1:11">
      <c r="A85" s="8">
        <v>6001</v>
      </c>
      <c r="B85" s="8">
        <v>6</v>
      </c>
      <c r="C85" s="8" t="s">
        <v>38</v>
      </c>
      <c r="D85" s="8" t="s">
        <v>39</v>
      </c>
      <c r="E85" s="8">
        <v>2500</v>
      </c>
      <c r="F85" s="8">
        <v>999999</v>
      </c>
      <c r="K85" s="8">
        <v>3</v>
      </c>
    </row>
    <row r="86" s="8" customFormat="1" spans="1:11">
      <c r="A86" s="8">
        <v>6002</v>
      </c>
      <c r="B86" s="8">
        <v>6</v>
      </c>
      <c r="C86" s="8" t="s">
        <v>40</v>
      </c>
      <c r="D86" s="8" t="s">
        <v>41</v>
      </c>
      <c r="E86" s="8">
        <v>4000</v>
      </c>
      <c r="F86" s="8">
        <v>999999</v>
      </c>
      <c r="K86" s="8">
        <v>4</v>
      </c>
    </row>
    <row r="87" s="8" customFormat="1" spans="1:11">
      <c r="A87" s="8">
        <v>6003</v>
      </c>
      <c r="B87" s="8">
        <v>6</v>
      </c>
      <c r="C87" s="8" t="s">
        <v>42</v>
      </c>
      <c r="D87" s="8" t="s">
        <v>43</v>
      </c>
      <c r="E87" s="8">
        <v>4000</v>
      </c>
      <c r="F87" s="8">
        <v>999999</v>
      </c>
      <c r="K87" s="8">
        <v>5</v>
      </c>
    </row>
    <row r="88" s="8" customFormat="1" spans="1:11">
      <c r="A88" s="8">
        <v>6004</v>
      </c>
      <c r="B88" s="8">
        <v>6</v>
      </c>
      <c r="C88" s="8" t="s">
        <v>44</v>
      </c>
      <c r="D88" s="8" t="s">
        <v>45</v>
      </c>
      <c r="E88" s="8">
        <v>3500</v>
      </c>
      <c r="F88" s="8">
        <v>999999</v>
      </c>
      <c r="K88" s="8">
        <v>6</v>
      </c>
    </row>
    <row r="89" s="8" customFormat="1" spans="1:11">
      <c r="A89" s="8">
        <v>6005</v>
      </c>
      <c r="B89" s="8">
        <v>6</v>
      </c>
      <c r="C89" s="8" t="s">
        <v>46</v>
      </c>
      <c r="D89" s="8" t="s">
        <v>47</v>
      </c>
      <c r="E89" s="8">
        <v>4000</v>
      </c>
      <c r="F89" s="8">
        <v>999999</v>
      </c>
      <c r="K89" s="8">
        <v>7</v>
      </c>
    </row>
    <row r="90" s="8" customFormat="1" spans="1:11">
      <c r="A90" s="8">
        <v>6006</v>
      </c>
      <c r="B90" s="8">
        <v>6</v>
      </c>
      <c r="C90" s="8" t="s">
        <v>48</v>
      </c>
      <c r="D90" s="8" t="s">
        <v>49</v>
      </c>
      <c r="E90" s="8">
        <v>5000</v>
      </c>
      <c r="F90" s="8">
        <v>999999</v>
      </c>
      <c r="K90" s="8">
        <v>8</v>
      </c>
    </row>
    <row r="91" s="8" customFormat="1" spans="1:11">
      <c r="A91" s="8">
        <v>6007</v>
      </c>
      <c r="B91" s="8">
        <v>6</v>
      </c>
      <c r="C91" s="8" t="s">
        <v>50</v>
      </c>
      <c r="D91" s="8" t="s">
        <v>51</v>
      </c>
      <c r="E91" s="8">
        <v>5000</v>
      </c>
      <c r="F91" s="8">
        <v>999999</v>
      </c>
      <c r="K91" s="8">
        <v>10</v>
      </c>
    </row>
    <row r="92" s="8" customFormat="1" spans="1:11">
      <c r="A92" s="8">
        <v>6008</v>
      </c>
      <c r="B92" s="8">
        <v>6</v>
      </c>
      <c r="C92" s="8" t="s">
        <v>52</v>
      </c>
      <c r="D92" s="8" t="s">
        <v>53</v>
      </c>
      <c r="E92" s="8">
        <v>3000</v>
      </c>
      <c r="F92" s="8">
        <v>999999</v>
      </c>
      <c r="K92" s="8">
        <v>11</v>
      </c>
    </row>
    <row r="93" s="8" customFormat="1" spans="1:11">
      <c r="A93" s="8">
        <v>6009</v>
      </c>
      <c r="B93" s="8">
        <v>6</v>
      </c>
      <c r="C93" s="8" t="s">
        <v>54</v>
      </c>
      <c r="D93" s="8" t="s">
        <v>55</v>
      </c>
      <c r="E93" s="8">
        <v>2000</v>
      </c>
      <c r="F93" s="8">
        <v>999999</v>
      </c>
      <c r="K93" s="8">
        <v>12</v>
      </c>
    </row>
    <row r="94" s="8" customFormat="1" spans="1:11">
      <c r="A94" s="8">
        <v>6010</v>
      </c>
      <c r="B94" s="8">
        <v>6</v>
      </c>
      <c r="C94" s="8" t="s">
        <v>56</v>
      </c>
      <c r="D94" s="8" t="s">
        <v>57</v>
      </c>
      <c r="E94" s="8">
        <v>2000</v>
      </c>
      <c r="F94" s="8">
        <v>999999</v>
      </c>
      <c r="K94" s="8">
        <v>13</v>
      </c>
    </row>
    <row r="95" s="8" customFormat="1" spans="1:11">
      <c r="A95" s="8">
        <v>6011</v>
      </c>
      <c r="B95" s="8">
        <v>6</v>
      </c>
      <c r="C95" s="8" t="s">
        <v>58</v>
      </c>
      <c r="D95" s="8" t="s">
        <v>59</v>
      </c>
      <c r="E95" s="8">
        <v>2000</v>
      </c>
      <c r="F95" s="8">
        <v>999999</v>
      </c>
      <c r="K95" s="8">
        <v>14</v>
      </c>
    </row>
    <row r="96" s="8" customFormat="1" spans="1:11">
      <c r="A96" s="8">
        <v>6012</v>
      </c>
      <c r="B96" s="8">
        <v>6</v>
      </c>
      <c r="C96" s="8" t="s">
        <v>60</v>
      </c>
      <c r="D96" s="8" t="s">
        <v>61</v>
      </c>
      <c r="E96" s="8">
        <v>1000</v>
      </c>
      <c r="F96" s="8">
        <v>999999</v>
      </c>
      <c r="K96" s="8">
        <v>15</v>
      </c>
    </row>
    <row r="97" s="8" customFormat="1" spans="1:11">
      <c r="A97" s="8">
        <v>6013</v>
      </c>
      <c r="B97" s="8">
        <v>6</v>
      </c>
      <c r="C97" s="8" t="s">
        <v>62</v>
      </c>
      <c r="D97" s="8" t="s">
        <v>63</v>
      </c>
      <c r="E97" s="8">
        <v>600</v>
      </c>
      <c r="F97" s="8">
        <v>10</v>
      </c>
      <c r="I97" s="8">
        <v>55</v>
      </c>
      <c r="J97" s="8">
        <v>2</v>
      </c>
      <c r="K97" s="8">
        <v>16</v>
      </c>
    </row>
    <row r="98" s="8" customFormat="1" spans="1:11">
      <c r="A98" s="8">
        <v>6014</v>
      </c>
      <c r="B98" s="8">
        <v>6</v>
      </c>
      <c r="C98" s="8" t="s">
        <v>81</v>
      </c>
      <c r="D98" s="8" t="s">
        <v>82</v>
      </c>
      <c r="E98" s="8">
        <v>250</v>
      </c>
      <c r="F98" s="8">
        <v>5</v>
      </c>
      <c r="H98" s="8">
        <v>100</v>
      </c>
      <c r="I98" s="8">
        <v>120</v>
      </c>
      <c r="J98" s="8">
        <v>2</v>
      </c>
      <c r="K98" s="8">
        <v>9</v>
      </c>
    </row>
    <row r="99" s="8" customFormat="1" spans="1:11">
      <c r="A99" s="8">
        <v>6015</v>
      </c>
      <c r="B99" s="8">
        <v>6</v>
      </c>
      <c r="C99" s="8" t="s">
        <v>66</v>
      </c>
      <c r="D99" s="8" t="s">
        <v>76</v>
      </c>
      <c r="E99" s="8">
        <v>500</v>
      </c>
      <c r="F99" s="8">
        <v>6</v>
      </c>
      <c r="I99" s="8">
        <v>75</v>
      </c>
      <c r="J99" s="8">
        <v>2</v>
      </c>
      <c r="K99" s="8">
        <v>2</v>
      </c>
    </row>
    <row r="100" s="8" customFormat="1" spans="1:11">
      <c r="A100" s="8">
        <v>6016</v>
      </c>
      <c r="B100" s="8">
        <v>6</v>
      </c>
      <c r="C100" s="8" t="s">
        <v>85</v>
      </c>
      <c r="D100" s="8" t="s">
        <v>86</v>
      </c>
      <c r="E100" s="8">
        <v>100</v>
      </c>
      <c r="F100" s="8">
        <v>1</v>
      </c>
      <c r="H100" s="8">
        <v>400</v>
      </c>
      <c r="I100" s="8">
        <v>580</v>
      </c>
      <c r="J100" s="8">
        <v>1</v>
      </c>
      <c r="K100" s="8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Q18"/>
  <sheetViews>
    <sheetView workbookViewId="0">
      <selection activeCell="C3" sqref="C3:C18"/>
    </sheetView>
  </sheetViews>
  <sheetFormatPr defaultColWidth="9" defaultRowHeight="13.5"/>
  <cols>
    <col min="3" max="3" width="12.875" customWidth="1"/>
  </cols>
  <sheetData>
    <row r="3" ht="16.5" spans="2:17">
      <c r="B3" s="1">
        <v>50010010</v>
      </c>
      <c r="C3" s="2" t="s">
        <v>38</v>
      </c>
      <c r="D3" s="3">
        <v>20</v>
      </c>
      <c r="E3" t="str">
        <f>B3&amp;"#"&amp;D3</f>
        <v>50010010#20</v>
      </c>
      <c r="J3" t="s">
        <v>87</v>
      </c>
      <c r="K3" t="s">
        <v>88</v>
      </c>
      <c r="L3" t="s">
        <v>89</v>
      </c>
      <c r="M3" t="s">
        <v>88</v>
      </c>
      <c r="N3" t="s">
        <v>90</v>
      </c>
      <c r="O3" t="s">
        <v>88</v>
      </c>
      <c r="Q3" t="str">
        <f>_xlfn.TEXTJOIN("|",TRUE,J$3&amp;K3,L$3&amp;M3,N$3&amp;O3)</f>
        <v>1#50010010#20|2#50010010#20|3#50010010#20</v>
      </c>
    </row>
    <row r="4" ht="16.5" spans="2:17">
      <c r="B4" s="4">
        <v>50040074</v>
      </c>
      <c r="C4" s="5" t="s">
        <v>40</v>
      </c>
      <c r="D4" s="3">
        <v>10</v>
      </c>
      <c r="E4" t="str">
        <f t="shared" ref="E4:E18" si="0">B4&amp;"#"&amp;D4</f>
        <v>50040074#10</v>
      </c>
      <c r="K4" t="s">
        <v>91</v>
      </c>
      <c r="M4" t="s">
        <v>91</v>
      </c>
      <c r="O4" t="s">
        <v>91</v>
      </c>
      <c r="Q4" t="str">
        <f t="shared" ref="Q4:Q18" si="1">_xlfn.TEXTJOIN("|",TRUE,J$3&amp;K4,L$3&amp;M4,N$3&amp;O4)</f>
        <v>1#50040074#10|2#50040074#10|3#50040074#10</v>
      </c>
    </row>
    <row r="5" ht="16.5" spans="2:17">
      <c r="B5" s="1">
        <v>50040057</v>
      </c>
      <c r="C5" s="1" t="s">
        <v>42</v>
      </c>
      <c r="D5" s="3">
        <v>10</v>
      </c>
      <c r="E5" t="str">
        <f t="shared" si="0"/>
        <v>50040057#10</v>
      </c>
      <c r="K5" t="s">
        <v>92</v>
      </c>
      <c r="M5" t="s">
        <v>92</v>
      </c>
      <c r="O5" t="s">
        <v>92</v>
      </c>
      <c r="Q5" t="str">
        <f t="shared" si="1"/>
        <v>1#50040057#10|2#50040057#10|3#50040057#10</v>
      </c>
    </row>
    <row r="6" ht="16.5" spans="2:17">
      <c r="B6" s="1" t="s">
        <v>93</v>
      </c>
      <c r="C6" s="1" t="s">
        <v>44</v>
      </c>
      <c r="D6" s="3">
        <v>6</v>
      </c>
      <c r="E6" t="str">
        <f t="shared" si="0"/>
        <v>50040059#6</v>
      </c>
      <c r="K6" t="s">
        <v>94</v>
      </c>
      <c r="M6" t="s">
        <v>94</v>
      </c>
      <c r="O6" t="s">
        <v>94</v>
      </c>
      <c r="Q6" t="str">
        <f t="shared" si="1"/>
        <v>1#50040059#6|2#50040059#6|3#50040059#6</v>
      </c>
    </row>
    <row r="7" ht="16.5" spans="2:17">
      <c r="B7" s="1">
        <v>60010002</v>
      </c>
      <c r="C7" s="2" t="s">
        <v>46</v>
      </c>
      <c r="D7" s="3">
        <v>10</v>
      </c>
      <c r="E7" t="str">
        <f t="shared" si="0"/>
        <v>60010002#10</v>
      </c>
      <c r="K7" t="s">
        <v>95</v>
      </c>
      <c r="M7" t="s">
        <v>95</v>
      </c>
      <c r="O7" t="s">
        <v>95</v>
      </c>
      <c r="Q7" t="str">
        <f t="shared" si="1"/>
        <v>1#60010002#10|2#60010002#10|3#60010002#10</v>
      </c>
    </row>
    <row r="8" ht="16.5" spans="2:17">
      <c r="B8" s="1">
        <v>50030002</v>
      </c>
      <c r="C8" s="1" t="s">
        <v>48</v>
      </c>
      <c r="D8" s="3">
        <v>5</v>
      </c>
      <c r="E8" t="str">
        <f t="shared" si="0"/>
        <v>50030002#5</v>
      </c>
      <c r="K8" t="s">
        <v>96</v>
      </c>
      <c r="M8" t="s">
        <v>96</v>
      </c>
      <c r="O8" t="s">
        <v>96</v>
      </c>
      <c r="Q8" t="str">
        <f t="shared" si="1"/>
        <v>1#50030002#5|2#50030002#5|3#50030002#5</v>
      </c>
    </row>
    <row r="9" ht="16.5" spans="2:17">
      <c r="B9" s="1">
        <v>50030003</v>
      </c>
      <c r="C9" s="1" t="s">
        <v>50</v>
      </c>
      <c r="D9" s="3">
        <v>5</v>
      </c>
      <c r="E9" t="str">
        <f t="shared" si="0"/>
        <v>50030003#5</v>
      </c>
      <c r="K9" t="s">
        <v>97</v>
      </c>
      <c r="M9" t="s">
        <v>97</v>
      </c>
      <c r="O9" t="s">
        <v>97</v>
      </c>
      <c r="Q9" t="str">
        <f t="shared" si="1"/>
        <v>1#50030003#5|2#50030003#5|3#50030003#5</v>
      </c>
    </row>
    <row r="10" ht="16.5" spans="2:17">
      <c r="B10" s="1">
        <v>50040061</v>
      </c>
      <c r="C10" s="1" t="s">
        <v>52</v>
      </c>
      <c r="D10" s="3">
        <v>6</v>
      </c>
      <c r="E10" t="str">
        <f t="shared" si="0"/>
        <v>50040061#6</v>
      </c>
      <c r="K10" t="s">
        <v>98</v>
      </c>
      <c r="M10" t="s">
        <v>98</v>
      </c>
      <c r="O10" t="s">
        <v>98</v>
      </c>
      <c r="Q10" t="str">
        <f t="shared" si="1"/>
        <v>1#50040061#6|2#50040061#6|3#50040061#6</v>
      </c>
    </row>
    <row r="11" ht="16.5" spans="2:17">
      <c r="B11" s="4" t="s">
        <v>99</v>
      </c>
      <c r="C11" s="5" t="s">
        <v>54</v>
      </c>
      <c r="D11" s="3">
        <v>2</v>
      </c>
      <c r="E11" t="str">
        <f t="shared" si="0"/>
        <v>50040075#2</v>
      </c>
      <c r="K11" t="s">
        <v>100</v>
      </c>
      <c r="M11" t="s">
        <v>100</v>
      </c>
      <c r="O11" t="s">
        <v>100</v>
      </c>
      <c r="Q11" t="str">
        <f t="shared" si="1"/>
        <v>1#50040075#2|2#50040075#2|3#50040075#2</v>
      </c>
    </row>
    <row r="12" ht="16.5" spans="2:17">
      <c r="B12" s="4" t="s">
        <v>101</v>
      </c>
      <c r="C12" s="5" t="s">
        <v>56</v>
      </c>
      <c r="D12" s="3">
        <v>2</v>
      </c>
      <c r="E12" t="str">
        <f t="shared" si="0"/>
        <v>50040077#2</v>
      </c>
      <c r="K12" t="s">
        <v>102</v>
      </c>
      <c r="M12" t="s">
        <v>102</v>
      </c>
      <c r="O12" t="s">
        <v>102</v>
      </c>
      <c r="Q12" t="str">
        <f t="shared" si="1"/>
        <v>1#50040077#2|2#50040077#2|3#50040077#2</v>
      </c>
    </row>
    <row r="13" ht="16.5" spans="2:17">
      <c r="B13" s="4" t="s">
        <v>103</v>
      </c>
      <c r="C13" s="5" t="s">
        <v>58</v>
      </c>
      <c r="D13" s="3">
        <v>2</v>
      </c>
      <c r="E13" t="str">
        <f t="shared" si="0"/>
        <v>50040076#2</v>
      </c>
      <c r="K13" t="s">
        <v>104</v>
      </c>
      <c r="M13" t="s">
        <v>104</v>
      </c>
      <c r="O13" t="s">
        <v>104</v>
      </c>
      <c r="Q13" t="str">
        <f t="shared" si="1"/>
        <v>1#50040076#2|2#50040076#2|3#50040076#2</v>
      </c>
    </row>
    <row r="14" ht="16.5" spans="2:17">
      <c r="B14" s="1">
        <v>50030005</v>
      </c>
      <c r="C14" s="1" t="s">
        <v>60</v>
      </c>
      <c r="D14" s="3">
        <v>1</v>
      </c>
      <c r="E14" t="str">
        <f t="shared" si="0"/>
        <v>50030005#1</v>
      </c>
      <c r="K14" t="s">
        <v>105</v>
      </c>
      <c r="M14" t="s">
        <v>105</v>
      </c>
      <c r="O14" t="s">
        <v>105</v>
      </c>
      <c r="Q14" t="str">
        <f t="shared" si="1"/>
        <v>1#50030005#1|2#50030005#1|3#50030005#1</v>
      </c>
    </row>
    <row r="15" ht="16.5" spans="2:17">
      <c r="B15" s="1">
        <v>30039702</v>
      </c>
      <c r="C15" s="2" t="s">
        <v>62</v>
      </c>
      <c r="D15" s="3">
        <v>1</v>
      </c>
      <c r="E15" t="str">
        <f t="shared" si="0"/>
        <v>30039702#1</v>
      </c>
      <c r="K15" t="s">
        <v>106</v>
      </c>
      <c r="M15" t="s">
        <v>106</v>
      </c>
      <c r="O15" t="s">
        <v>106</v>
      </c>
      <c r="Q15" t="str">
        <f t="shared" si="1"/>
        <v>1#30039702#1|2#30039702#1|3#30039702#1</v>
      </c>
    </row>
    <row r="16" ht="16.5" spans="2:17">
      <c r="B16" s="1">
        <v>50040027</v>
      </c>
      <c r="C16" s="2" t="s">
        <v>107</v>
      </c>
      <c r="D16" s="3">
        <v>1</v>
      </c>
      <c r="E16" t="str">
        <f t="shared" si="0"/>
        <v>50040027#1</v>
      </c>
      <c r="K16" t="s">
        <v>108</v>
      </c>
      <c r="M16" t="s">
        <v>108</v>
      </c>
      <c r="O16" t="s">
        <v>108</v>
      </c>
      <c r="Q16" t="str">
        <f t="shared" si="1"/>
        <v>1#50040027#1|2#50040027#1|3#50040027#1</v>
      </c>
    </row>
    <row r="17" ht="16.5" spans="2:17">
      <c r="B17" s="4">
        <v>50040098</v>
      </c>
      <c r="C17" s="2" t="s">
        <v>109</v>
      </c>
      <c r="D17" s="3">
        <v>40</v>
      </c>
      <c r="E17" t="str">
        <f t="shared" si="0"/>
        <v>50040098#40</v>
      </c>
      <c r="K17" t="s">
        <v>110</v>
      </c>
      <c r="M17" t="s">
        <v>110</v>
      </c>
      <c r="O17" t="s">
        <v>110</v>
      </c>
      <c r="Q17" t="str">
        <f t="shared" si="1"/>
        <v>1#50040098#40|2#50040098#40|3#50040098#40</v>
      </c>
    </row>
    <row r="18" ht="16.5" spans="2:17">
      <c r="B18" s="1" t="s">
        <v>111</v>
      </c>
      <c r="C18" s="2" t="s">
        <v>112</v>
      </c>
      <c r="D18" s="3">
        <v>1</v>
      </c>
      <c r="E18" t="str">
        <f t="shared" si="0"/>
        <v>21600006#1</v>
      </c>
      <c r="K18" t="s">
        <v>113</v>
      </c>
      <c r="M18" t="s">
        <v>113</v>
      </c>
      <c r="O18" t="s">
        <v>113</v>
      </c>
      <c r="Q18" t="str">
        <f t="shared" si="1"/>
        <v>1#21600006#1|2#21600006#1|3#21600006#1</v>
      </c>
    </row>
  </sheetData>
  <conditionalFormatting sqref="B3">
    <cfRule type="duplicateValues" dxfId="0" priority="32"/>
    <cfRule type="duplicateValues" dxfId="1" priority="31"/>
  </conditionalFormatting>
  <conditionalFormatting sqref="B4">
    <cfRule type="duplicateValues" dxfId="0" priority="24"/>
    <cfRule type="duplicateValues" dxfId="1" priority="23"/>
  </conditionalFormatting>
  <conditionalFormatting sqref="B5">
    <cfRule type="duplicateValues" dxfId="0" priority="22"/>
    <cfRule type="duplicateValues" dxfId="1" priority="21"/>
  </conditionalFormatting>
  <conditionalFormatting sqref="B6">
    <cfRule type="duplicateValues" dxfId="0" priority="20"/>
    <cfRule type="duplicateValues" dxfId="1" priority="19"/>
  </conditionalFormatting>
  <conditionalFormatting sqref="B7">
    <cfRule type="duplicateValues" dxfId="0" priority="18"/>
    <cfRule type="duplicateValues" dxfId="1" priority="17"/>
  </conditionalFormatting>
  <conditionalFormatting sqref="B8">
    <cfRule type="duplicateValues" dxfId="0" priority="14"/>
    <cfRule type="duplicateValues" dxfId="1" priority="13"/>
  </conditionalFormatting>
  <conditionalFormatting sqref="B9">
    <cfRule type="duplicateValues" dxfId="0" priority="12"/>
    <cfRule type="duplicateValues" dxfId="1" priority="11"/>
  </conditionalFormatting>
  <conditionalFormatting sqref="B10">
    <cfRule type="duplicateValues" dxfId="0" priority="16"/>
    <cfRule type="duplicateValues" dxfId="1" priority="15"/>
  </conditionalFormatting>
  <conditionalFormatting sqref="B11">
    <cfRule type="duplicateValues" dxfId="0" priority="30"/>
    <cfRule type="duplicateValues" dxfId="1" priority="29"/>
  </conditionalFormatting>
  <conditionalFormatting sqref="B12">
    <cfRule type="duplicateValues" dxfId="0" priority="28"/>
    <cfRule type="duplicateValues" dxfId="1" priority="27"/>
  </conditionalFormatting>
  <conditionalFormatting sqref="B13">
    <cfRule type="duplicateValues" dxfId="0" priority="26"/>
    <cfRule type="duplicateValues" dxfId="1" priority="25"/>
  </conditionalFormatting>
  <conditionalFormatting sqref="B14">
    <cfRule type="duplicateValues" dxfId="0" priority="10"/>
    <cfRule type="duplicateValues" dxfId="1" priority="9"/>
  </conditionalFormatting>
  <conditionalFormatting sqref="B15">
    <cfRule type="duplicateValues" dxfId="0" priority="6"/>
    <cfRule type="duplicateValues" dxfId="1" priority="5"/>
  </conditionalFormatting>
  <conditionalFormatting sqref="B16">
    <cfRule type="duplicateValues" dxfId="0" priority="4"/>
    <cfRule type="duplicateValues" dxfId="1" priority="3"/>
  </conditionalFormatting>
  <conditionalFormatting sqref="B17">
    <cfRule type="duplicateValues" dxfId="0" priority="8"/>
    <cfRule type="duplicateValues" dxfId="1" priority="7"/>
  </conditionalFormatting>
  <conditionalFormatting sqref="B18"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cfg_turntable_reward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2025-03-18T12:01:18Z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D948D650DA0745D08B028C2C6654A010_12</vt:lpwstr>
  </property>
</Properties>
</file>